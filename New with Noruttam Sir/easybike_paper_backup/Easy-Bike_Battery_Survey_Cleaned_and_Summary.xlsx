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zowan\Downloads\"/>
    </mc:Choice>
  </mc:AlternateContent>
  <xr:revisionPtr revIDLastSave="0" documentId="13_ncr:1_{4FD37901-50EC-4129-8676-1B2FEE78A0AF}" xr6:coauthVersionLast="47" xr6:coauthVersionMax="47" xr10:uidLastSave="{00000000-0000-0000-0000-000000000000}"/>
  <bookViews>
    <workbookView xWindow="-120" yWindow="-120" windowWidth="20730" windowHeight="11310" tabRatio="500" xr2:uid="{00000000-000D-0000-FFFF-FFFF00000000}"/>
  </bookViews>
  <sheets>
    <sheet name="Form Responses 1" sheetId="1" r:id="rId1"/>
    <sheet name="Cleaned Data" sheetId="2" r:id="rId2"/>
    <sheet name="Summary" sheetId="3" r:id="rId3"/>
  </sheets>
  <definedNames>
    <definedName name="_xlnm._FilterDatabase" localSheetId="1" hidden="1">'Cleaned Data'!$A$1:$V$44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0" i="3" l="1"/>
  <c r="E39" i="3"/>
  <c r="D39" i="3"/>
  <c r="C39" i="3"/>
  <c r="B39" i="3"/>
  <c r="E38" i="3"/>
  <c r="D38" i="3"/>
  <c r="C38" i="3"/>
  <c r="B38" i="3"/>
  <c r="E37" i="3"/>
  <c r="D37" i="3"/>
  <c r="C37" i="3"/>
  <c r="B37" i="3"/>
  <c r="D32" i="3"/>
  <c r="C32" i="3"/>
  <c r="B32" i="3"/>
  <c r="E32" i="3" s="1"/>
  <c r="D31" i="3"/>
  <c r="E31" i="3" s="1"/>
  <c r="C31" i="3"/>
  <c r="B31" i="3"/>
  <c r="E30" i="3"/>
  <c r="D30" i="3"/>
  <c r="C30" i="3"/>
  <c r="B30" i="3"/>
  <c r="D29" i="3"/>
  <c r="C29" i="3"/>
  <c r="B29" i="3"/>
  <c r="B33" i="3" s="1"/>
  <c r="D28" i="3"/>
  <c r="C28" i="3"/>
  <c r="C33" i="3" s="1"/>
  <c r="B28" i="3"/>
  <c r="E28" i="3" s="1"/>
  <c r="D27" i="3"/>
  <c r="D33" i="3" s="1"/>
  <c r="C27" i="3"/>
  <c r="B27" i="3"/>
  <c r="E20" i="3"/>
  <c r="D20" i="3"/>
  <c r="C20" i="3"/>
  <c r="B20" i="3"/>
  <c r="E19" i="3"/>
  <c r="D19" i="3"/>
  <c r="C19" i="3"/>
  <c r="B19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B8" i="3"/>
  <c r="C8" i="3" s="1"/>
  <c r="B7" i="3"/>
  <c r="B6" i="3"/>
  <c r="B9" i="3" s="1"/>
  <c r="C7" i="3" s="1"/>
  <c r="U44" i="2"/>
  <c r="T44" i="2"/>
  <c r="P44" i="2"/>
  <c r="I44" i="2"/>
  <c r="U43" i="2"/>
  <c r="T43" i="2"/>
  <c r="P43" i="2"/>
  <c r="I43" i="2"/>
  <c r="U42" i="2"/>
  <c r="T42" i="2"/>
  <c r="P42" i="2"/>
  <c r="I42" i="2"/>
  <c r="U41" i="2"/>
  <c r="T41" i="2"/>
  <c r="P41" i="2"/>
  <c r="I41" i="2"/>
  <c r="U40" i="2"/>
  <c r="T40" i="2"/>
  <c r="P40" i="2"/>
  <c r="I40" i="2"/>
  <c r="U39" i="2"/>
  <c r="T39" i="2"/>
  <c r="P39" i="2"/>
  <c r="I39" i="2"/>
  <c r="U38" i="2"/>
  <c r="T38" i="2"/>
  <c r="P38" i="2"/>
  <c r="I38" i="2"/>
  <c r="U37" i="2"/>
  <c r="T37" i="2"/>
  <c r="P37" i="2"/>
  <c r="I37" i="2"/>
  <c r="U36" i="2"/>
  <c r="T36" i="2"/>
  <c r="P36" i="2"/>
  <c r="I36" i="2"/>
  <c r="U35" i="2"/>
  <c r="T35" i="2"/>
  <c r="P35" i="2"/>
  <c r="I35" i="2"/>
  <c r="U34" i="2"/>
  <c r="T34" i="2"/>
  <c r="P34" i="2"/>
  <c r="I34" i="2"/>
  <c r="U33" i="2"/>
  <c r="T33" i="2"/>
  <c r="P33" i="2"/>
  <c r="I33" i="2"/>
  <c r="U32" i="2"/>
  <c r="T32" i="2"/>
  <c r="P32" i="2"/>
  <c r="I32" i="2"/>
  <c r="U31" i="2"/>
  <c r="T31" i="2"/>
  <c r="P31" i="2"/>
  <c r="I31" i="2"/>
  <c r="U30" i="2"/>
  <c r="T30" i="2"/>
  <c r="P30" i="2"/>
  <c r="I30" i="2"/>
  <c r="U29" i="2"/>
  <c r="T29" i="2"/>
  <c r="P29" i="2"/>
  <c r="I29" i="2"/>
  <c r="U28" i="2"/>
  <c r="D23" i="3" s="1"/>
  <c r="T28" i="2"/>
  <c r="D22" i="3" s="1"/>
  <c r="P28" i="2"/>
  <c r="D21" i="3" s="1"/>
  <c r="I28" i="2"/>
  <c r="D18" i="3" s="1"/>
  <c r="U27" i="2"/>
  <c r="T27" i="2"/>
  <c r="P27" i="2"/>
  <c r="I27" i="2"/>
  <c r="U26" i="2"/>
  <c r="T26" i="2"/>
  <c r="P26" i="2"/>
  <c r="I26" i="2"/>
  <c r="U25" i="2"/>
  <c r="T25" i="2"/>
  <c r="P25" i="2"/>
  <c r="I25" i="2"/>
  <c r="U24" i="2"/>
  <c r="T24" i="2"/>
  <c r="P24" i="2"/>
  <c r="I24" i="2"/>
  <c r="U23" i="2"/>
  <c r="T23" i="2"/>
  <c r="P23" i="2"/>
  <c r="I23" i="2"/>
  <c r="U22" i="2"/>
  <c r="T22" i="2"/>
  <c r="P22" i="2"/>
  <c r="I22" i="2"/>
  <c r="U21" i="2"/>
  <c r="T21" i="2"/>
  <c r="P21" i="2"/>
  <c r="I21" i="2"/>
  <c r="U20" i="2"/>
  <c r="T20" i="2"/>
  <c r="P20" i="2"/>
  <c r="I20" i="2"/>
  <c r="U19" i="2"/>
  <c r="T19" i="2"/>
  <c r="P19" i="2"/>
  <c r="I19" i="2"/>
  <c r="U18" i="2"/>
  <c r="T18" i="2"/>
  <c r="P18" i="2"/>
  <c r="I18" i="2"/>
  <c r="U17" i="2"/>
  <c r="T17" i="2"/>
  <c r="P17" i="2"/>
  <c r="I17" i="2"/>
  <c r="U16" i="2"/>
  <c r="T16" i="2"/>
  <c r="P16" i="2"/>
  <c r="I16" i="2"/>
  <c r="U15" i="2"/>
  <c r="T15" i="2"/>
  <c r="P15" i="2"/>
  <c r="I15" i="2"/>
  <c r="U14" i="2"/>
  <c r="T14" i="2"/>
  <c r="P14" i="2"/>
  <c r="I14" i="2"/>
  <c r="U13" i="2"/>
  <c r="T13" i="2"/>
  <c r="P13" i="2"/>
  <c r="I13" i="2"/>
  <c r="U12" i="2"/>
  <c r="T12" i="2"/>
  <c r="P12" i="2"/>
  <c r="I12" i="2"/>
  <c r="U11" i="2"/>
  <c r="T11" i="2"/>
  <c r="P11" i="2"/>
  <c r="I11" i="2"/>
  <c r="U10" i="2"/>
  <c r="T10" i="2"/>
  <c r="P10" i="2"/>
  <c r="I10" i="2"/>
  <c r="U9" i="2"/>
  <c r="T9" i="2"/>
  <c r="P9" i="2"/>
  <c r="I9" i="2"/>
  <c r="U8" i="2"/>
  <c r="T8" i="2"/>
  <c r="P8" i="2"/>
  <c r="I8" i="2"/>
  <c r="U7" i="2"/>
  <c r="C23" i="3" s="1"/>
  <c r="T7" i="2"/>
  <c r="C22" i="3" s="1"/>
  <c r="P7" i="2"/>
  <c r="C21" i="3" s="1"/>
  <c r="I7" i="2"/>
  <c r="C18" i="3" s="1"/>
  <c r="U6" i="2"/>
  <c r="T6" i="2"/>
  <c r="P6" i="2"/>
  <c r="I6" i="2"/>
  <c r="U5" i="2"/>
  <c r="T5" i="2"/>
  <c r="P5" i="2"/>
  <c r="I5" i="2"/>
  <c r="U4" i="2"/>
  <c r="T4" i="2"/>
  <c r="P4" i="2"/>
  <c r="I4" i="2"/>
  <c r="U3" i="2"/>
  <c r="T3" i="2"/>
  <c r="P3" i="2"/>
  <c r="I3" i="2"/>
  <c r="U2" i="2"/>
  <c r="B23" i="3" s="1"/>
  <c r="T2" i="2"/>
  <c r="B22" i="3" s="1"/>
  <c r="P2" i="2"/>
  <c r="B21" i="3" s="1"/>
  <c r="I2" i="2"/>
  <c r="B18" i="3" s="1"/>
  <c r="E18" i="3" l="1"/>
  <c r="E21" i="3"/>
  <c r="E22" i="3"/>
  <c r="E23" i="3"/>
  <c r="E27" i="3"/>
  <c r="E29" i="3"/>
  <c r="C6" i="3"/>
  <c r="C9" i="3" s="1"/>
  <c r="E33" i="3" l="1"/>
  <c r="F32" i="3" l="1"/>
  <c r="F31" i="3"/>
  <c r="F30" i="3"/>
  <c r="F28" i="3"/>
  <c r="F27" i="3"/>
  <c r="F2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7" authorId="0" shapeId="0" xr:uid="{00000000-0006-0000-0000-000001000000}">
      <text>
        <r>
          <rPr>
            <sz val="10"/>
            <rFont val="Arial"/>
            <family val="2"/>
          </rPr>
          <t>Responder updated this value.</t>
        </r>
      </text>
    </comment>
    <comment ref="D7" authorId="0" shapeId="0" xr:uid="{00000000-0006-0000-0000-000003000000}">
      <text>
        <r>
          <rPr>
            <sz val="10"/>
            <rFont val="Arial"/>
            <family val="2"/>
          </rPr>
          <t>Responder updated this value.</t>
        </r>
      </text>
    </comment>
    <comment ref="C8" authorId="0" shapeId="0" xr:uid="{00000000-0006-0000-0000-000002000000}">
      <text>
        <r>
          <rPr>
            <sz val="10"/>
            <rFont val="Arial"/>
            <family val="2"/>
          </rPr>
          <t>Responder updated this value.</t>
        </r>
      </text>
    </comment>
    <comment ref="E8" authorId="0" shapeId="0" xr:uid="{00000000-0006-0000-0000-000004000000}">
      <text>
        <r>
          <rPr>
            <sz val="10"/>
            <rFont val="Arial"/>
            <family val="2"/>
          </rPr>
          <t>Responder updated this value.</t>
        </r>
      </text>
    </comment>
    <comment ref="H8" authorId="0" shapeId="0" xr:uid="{00000000-0006-0000-0000-000005000000}">
      <text>
        <r>
          <rPr>
            <sz val="10"/>
            <rFont val="Arial"/>
            <family val="2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<sst xmlns="http://schemas.openxmlformats.org/spreadsheetml/2006/main" count="639" uniqueCount="228">
  <si>
    <t>Timestamp</t>
  </si>
  <si>
    <t xml:space="preserve">1. আপনার Easy-bike/E-rickshaw-এ বর্তমানে কোন ধরনের ব্যাটারি ব্যবহার করছেন? </t>
  </si>
  <si>
    <t xml:space="preserve">2. আপনার বর্তমান ব্যাটারি সেটটি কিনতে কত টাকা খরচ হয়েছিল?  </t>
  </si>
  <si>
    <t>আপনার ব্যাটারি সেটে মোট কতটি ব্যাটারি আছে এবং প্রতিটি ব্যাটারির ভোল্টেজ/ক্যাপাসিটি কত?  
ব্যাটারির সংখ্যা: ______ টি
ভোল্টেজ (V): ______
ক্যাপাসিটি (Ah): ______</t>
  </si>
  <si>
    <t xml:space="preserve">  আপনি প্রতিদিন গড়ে কত কিলোমিটার Easy-bike/E-rickshaw চালান?  </t>
  </si>
  <si>
    <t xml:space="preserve">  সাধারণত প্রতিদিন কয়বার ব্যাটারি চার্জ করেন?  </t>
  </si>
  <si>
    <t xml:space="preserve">একবার সম্পূর্ণ চার্জ করতে আনুমানিক কত টাকা খরচ হয়?  </t>
  </si>
  <si>
    <t xml:space="preserve">আপনার বর্তমান ব্যাটারি সেটটি কতদিন (মাস) ধরে ব্যবহার করছেন?  </t>
  </si>
  <si>
    <t xml:space="preserve">  সাধারণত নতুন ব্যাটারি সেট কতদিন ব্যবহার করার পর পরিবর্তন করতে হয়?  </t>
  </si>
  <si>
    <t xml:space="preserve"> ৯. আপনার ব্যাটারি বর্তমানে সবচেয়ে বেশি কোন সমস্যায় পড়ছে?  </t>
  </si>
  <si>
    <t xml:space="preserve"> ১০. পুরোনো ব্যাটারি পরিবর্তনের সময় বিক্রি করলে আনুমানিক কত টাকা পাওয়া যায়?  </t>
  </si>
  <si>
    <t>Lead-acid</t>
  </si>
  <si>
    <t>২৬০০০</t>
  </si>
  <si>
    <t xml:space="preserve">৬ টি ব্যাটারি, ৭২ ভোল্ট , ৩০ আম্পিয়ার </t>
  </si>
  <si>
    <t>61–80 km</t>
  </si>
  <si>
    <t>১ বার</t>
  </si>
  <si>
    <t>১–২ বছর</t>
  </si>
  <si>
    <t>চার্জ হতে বেশি সময় লাগে</t>
  </si>
  <si>
    <t>Pray অর্ধেক</t>
  </si>
  <si>
    <t>5, 12v, 160ah</t>
  </si>
  <si>
    <t>100 km-এর বেশি</t>
  </si>
  <si>
    <t>120tk</t>
  </si>
  <si>
    <t>1 month</t>
  </si>
  <si>
    <t>4, 12v, 120AH</t>
  </si>
  <si>
    <t>41–60 km</t>
  </si>
  <si>
    <t>জানা নেই</t>
  </si>
  <si>
    <t>২৪ মাস</t>
  </si>
  <si>
    <t>২–৩ বছর</t>
  </si>
  <si>
    <t>চার্জার গরম হয়</t>
  </si>
  <si>
    <t>4,12v, 180AH</t>
  </si>
  <si>
    <t>১০মাস</t>
  </si>
  <si>
    <t>১১৫০০</t>
  </si>
  <si>
    <t>২ বার</t>
  </si>
  <si>
    <t xml:space="preserve">১০টাকা </t>
  </si>
  <si>
    <t>৭মাস</t>
  </si>
  <si>
    <t>দ্রুত চার্জ শেষ হয়ে যায়</t>
  </si>
  <si>
    <t>Lithium (LFP)</t>
  </si>
  <si>
    <t>90k</t>
  </si>
  <si>
    <t>4 ti 48 voltage</t>
  </si>
  <si>
    <t>60-70 taka</t>
  </si>
  <si>
    <t>2-3 years</t>
  </si>
  <si>
    <t>notun kine use korsi. ekhono replace korini</t>
  </si>
  <si>
    <t>আগের তুলনায় কম দূরত্ব চলে</t>
  </si>
  <si>
    <t>3k-4k</t>
  </si>
  <si>
    <t>100k</t>
  </si>
  <si>
    <t>4 ti</t>
  </si>
  <si>
    <t>300 taka</t>
  </si>
  <si>
    <t>2 year</t>
  </si>
  <si>
    <t>8-10k</t>
  </si>
  <si>
    <t>300 taka monthly</t>
  </si>
  <si>
    <t>2 years</t>
  </si>
  <si>
    <t>10000 taka</t>
  </si>
  <si>
    <t>battery 4 ti</t>
  </si>
  <si>
    <t>8k-9k taka</t>
  </si>
  <si>
    <t>2.5 years</t>
  </si>
  <si>
    <t>Battery 4 ti</t>
  </si>
  <si>
    <t>1.5 years</t>
  </si>
  <si>
    <t>11k-12k taka</t>
  </si>
  <si>
    <t>250 -280 taka</t>
  </si>
  <si>
    <t>12000 taka</t>
  </si>
  <si>
    <t>battery 6 ti</t>
  </si>
  <si>
    <t>300-320 taka</t>
  </si>
  <si>
    <t>10000-12000 taka</t>
  </si>
  <si>
    <t xml:space="preserve">No change  </t>
  </si>
  <si>
    <t>9000-10000 taka</t>
  </si>
  <si>
    <t xml:space="preserve"> 2 years</t>
  </si>
  <si>
    <t>95k</t>
  </si>
  <si>
    <t>40K</t>
  </si>
  <si>
    <t>5ti</t>
  </si>
  <si>
    <t>130km</t>
  </si>
  <si>
    <t>1 ber</t>
  </si>
  <si>
    <t>150Tk</t>
  </si>
  <si>
    <t>6 month</t>
  </si>
  <si>
    <t>1-1.5 year</t>
  </si>
  <si>
    <t>30K</t>
  </si>
  <si>
    <t>36K</t>
  </si>
  <si>
    <t>120Km</t>
  </si>
  <si>
    <t>jane nah</t>
  </si>
  <si>
    <t>6month</t>
  </si>
  <si>
    <t>6-10 month</t>
  </si>
  <si>
    <t>চার্জ কম হয়</t>
  </si>
  <si>
    <t>35K</t>
  </si>
  <si>
    <t>112K(80Kg)</t>
  </si>
  <si>
    <t>1ti</t>
  </si>
  <si>
    <t>150Km</t>
  </si>
  <si>
    <t>10 unit</t>
  </si>
  <si>
    <t>8 month</t>
  </si>
  <si>
    <t>4-5 year</t>
  </si>
  <si>
    <t>15-20K</t>
  </si>
  <si>
    <t>75K</t>
  </si>
  <si>
    <t>130Km</t>
  </si>
  <si>
    <t>100Tk</t>
  </si>
  <si>
    <t>5 month</t>
  </si>
  <si>
    <t>10-12 month</t>
  </si>
  <si>
    <t>চার্জ কম থাকে</t>
  </si>
  <si>
    <t>65K</t>
  </si>
  <si>
    <t>4ti</t>
  </si>
  <si>
    <t>70Km</t>
  </si>
  <si>
    <t>1ber</t>
  </si>
  <si>
    <t>100TK</t>
  </si>
  <si>
    <t>17 month</t>
  </si>
  <si>
    <t>15-20 month</t>
  </si>
  <si>
    <t>27K</t>
  </si>
  <si>
    <t>130K</t>
  </si>
  <si>
    <t>170km</t>
  </si>
  <si>
    <t>60Tk</t>
  </si>
  <si>
    <t>এখনো সমেস্যা পাইনাই</t>
  </si>
  <si>
    <t>25K</t>
  </si>
  <si>
    <t>90Tk</t>
  </si>
  <si>
    <t>2 month</t>
  </si>
  <si>
    <t>8-12 month</t>
  </si>
  <si>
    <t>45K</t>
  </si>
  <si>
    <t>120km</t>
  </si>
  <si>
    <t>3 month</t>
  </si>
  <si>
    <t>12-15 month</t>
  </si>
  <si>
    <t>26-28K</t>
  </si>
  <si>
    <t>96K</t>
  </si>
  <si>
    <t>6ti</t>
  </si>
  <si>
    <t>4 month</t>
  </si>
  <si>
    <t>12-16 mont</t>
  </si>
  <si>
    <t>48K</t>
  </si>
  <si>
    <t>Powder</t>
  </si>
  <si>
    <t>28K</t>
  </si>
  <si>
    <t>40tk</t>
  </si>
  <si>
    <t>1-2 year</t>
  </si>
  <si>
    <t>15K</t>
  </si>
  <si>
    <t>40-60</t>
  </si>
  <si>
    <t>250 taka/ month</t>
  </si>
  <si>
    <t>18 month</t>
  </si>
  <si>
    <t>10k</t>
  </si>
  <si>
    <t>4i</t>
  </si>
  <si>
    <t>280taka/month</t>
  </si>
  <si>
    <t>24 month</t>
  </si>
  <si>
    <t>11k</t>
  </si>
  <si>
    <t>250taka/month</t>
  </si>
  <si>
    <t>60-80km</t>
  </si>
  <si>
    <t>300 taka /month</t>
  </si>
  <si>
    <t>2-2.5 years</t>
  </si>
  <si>
    <t>15k</t>
  </si>
  <si>
    <t>95K</t>
  </si>
  <si>
    <t>300taka/month</t>
  </si>
  <si>
    <t>2.5-3 years</t>
  </si>
  <si>
    <t>15k-18k</t>
  </si>
  <si>
    <t>40-60km</t>
  </si>
  <si>
    <t>40-60KM</t>
  </si>
  <si>
    <t>9k</t>
  </si>
  <si>
    <t>4ta</t>
  </si>
  <si>
    <t>12k</t>
  </si>
  <si>
    <t>6ta</t>
  </si>
  <si>
    <t>Battery type</t>
  </si>
  <si>
    <t>Purchase cost (BDT)</t>
  </si>
  <si>
    <t>No. of batteries</t>
  </si>
  <si>
    <t>Voltage per battery (V)</t>
  </si>
  <si>
    <t>Capacity per battery (Ah)</t>
  </si>
  <si>
    <t>Daily distance min (km)</t>
  </si>
  <si>
    <t>Daily distance max (km)</t>
  </si>
  <si>
    <t>Daily distance mid (km)</t>
  </si>
  <si>
    <t>Charges per day</t>
  </si>
  <si>
    <t>Charging cost value (BDT)</t>
  </si>
  <si>
    <t>Charging cost basis</t>
  </si>
  <si>
    <t>Months in use</t>
  </si>
  <si>
    <t>Replacement interval min (months)</t>
  </si>
  <si>
    <t>Replacement interval max (months)</t>
  </si>
  <si>
    <t>Replacement interval mid (months)</t>
  </si>
  <si>
    <t>Main problem</t>
  </si>
  <si>
    <t>Resale value min (BDT)</t>
  </si>
  <si>
    <t>Resale value max (BDT)</t>
  </si>
  <si>
    <t>Resale value mid (BDT)</t>
  </si>
  <si>
    <t>Resale / purchase ratio</t>
  </si>
  <si>
    <t>Review notes</t>
  </si>
  <si>
    <t>Unspecified</t>
  </si>
  <si>
    <t>Slow charging</t>
  </si>
  <si>
    <t>Pack voltage 72 V stated; per-battery value derived (pack ÷ count). Resale "approximately half": taken as 50% of purchase cost (derived).</t>
  </si>
  <si>
    <t>Daily distance "&gt;100 km": lower bound used. High purchase cost for Lead-acid; verify battery type/capacity.</t>
  </si>
  <si>
    <t>Not known</t>
  </si>
  <si>
    <t>Charger overheating</t>
  </si>
  <si>
    <t>Daily distance "&gt;100 km": lower bound used.</t>
  </si>
  <si>
    <t>Fast discharge</t>
  </si>
  <si>
    <t>Reduced range</t>
  </si>
  <si>
    <t>Pack voltage 48 V stated; per-battery value derived (pack ÷ count). Range given; midpoint used. Range given; midpoint used. Battery new; not yet replaced.</t>
  </si>
  <si>
    <t>Per month (stated)</t>
  </si>
  <si>
    <t>Range given; midpoint used.</t>
  </si>
  <si>
    <t>Replacement interval: "No change" (not usable).</t>
  </si>
  <si>
    <t>High purchase cost for Lead-acid; verify battery type/capacity.</t>
  </si>
  <si>
    <t>Low charge / capacity</t>
  </si>
  <si>
    <t>kWh units</t>
  </si>
  <si>
    <t>Charging cost given in kWh units, not BDT.</t>
  </si>
  <si>
    <t>No problem yet</t>
  </si>
  <si>
    <t>High purchase cost for Powder; verify battery type/capacity.</t>
  </si>
  <si>
    <t>Easy-Bike / E-Rickshaw Battery Field Survey – Summary (Khulna region, Oct 2026)</t>
  </si>
  <si>
    <t>All figures are live formulas on the "Cleaned Data" sheet. Means exclude blanks (non-responses).</t>
  </si>
  <si>
    <t>1. Sample by battery type</t>
  </si>
  <si>
    <t>Responses (n)</t>
  </si>
  <si>
    <t>Share of sample</t>
  </si>
  <si>
    <t>Total</t>
  </si>
  <si>
    <t>2. Key indicators by battery type (mean)</t>
  </si>
  <si>
    <t>Indicator</t>
  </si>
  <si>
    <t>All</t>
  </si>
  <si>
    <t>Purchase cost excl. rows flagged "High purchase cost" (BDT)</t>
  </si>
  <si>
    <t>Min purchase cost (BDT)</t>
  </si>
  <si>
    <t>Max purchase cost (BDT)</t>
  </si>
  <si>
    <t>No. of batteries per set</t>
  </si>
  <si>
    <t>Daily distance, mid (km)</t>
  </si>
  <si>
    <t>Months in use (current set)</t>
  </si>
  <si>
    <t>Replacement interval, mid (months)</t>
  </si>
  <si>
    <t>Resale value, mid (BDT)</t>
  </si>
  <si>
    <t>Resale / purchase ratio (mean of ratios)</t>
  </si>
  <si>
    <t>3. Main problem reported (count of responses)</t>
  </si>
  <si>
    <t>Problem</t>
  </si>
  <si>
    <t>% of all</t>
  </si>
  <si>
    <t>4. Charging cost – only where basis is stated (BDT)</t>
  </si>
  <si>
    <t>Basis</t>
  </si>
  <si>
    <t>n</t>
  </si>
  <si>
    <t>Mean (BDT)</t>
  </si>
  <si>
    <t>Min (BDT)</t>
  </si>
  <si>
    <t>Max (BDT)</t>
  </si>
  <si>
    <t>5. Cleaning rules &amp; assumptions</t>
  </si>
  <si>
    <t>1. Original sheet "Form Responses 1" is unchanged; all standardisation is on "Cleaned Data".</t>
  </si>
  <si>
    <t>2. Bengali digits converted to Western digits; "k" suffix = ×1000 (e.g. 90k = 90,000 BDT).</t>
  </si>
  <si>
    <t>3. Ranges are stored as min and max; the mid column is the average. Single values have min = max.</t>
  </si>
  <si>
    <t>4. Years converted to months (×12) for months in use and replacement interval.</t>
  </si>
  <si>
    <t>5. Battery count, voltage (V) and capacity (Ah) were parsed from free text; blank = not reported. Where a pack voltage was given (72 V, 48 V) the per-battery voltage = pack ÷ count.</t>
  </si>
  <si>
    <t>6. Daily distance "&gt;100 km" is stored with the lower bound (100) as min, max blank.</t>
  </si>
  <si>
    <t>7. Charging cost was asked "per full charge" but many respondents gave a monthly figure or kWh units; the basis column records this. Do not pool basis groups.</t>
  </si>
  <si>
    <t>8. "Powder" is kept as entered by the surveyor (not merged into Lead-acid); confirm its definition before reporting.</t>
  </si>
  <si>
    <t>9. Resale "Pray অর্ধেক" (approx. half) is derived as 50% of purchase cost (flagged in notes).</t>
  </si>
  <si>
    <t>10. Problem answers translated to English categories; "চার্জ কম হয়" and "চার্জ কম থাকে" merged as Low charge / capacity.</t>
  </si>
  <si>
    <t>11. Rows with Lead-acid/Powder purchase cost ≥ 60,000 BDT are flagged for verification (possible capacity/type entry issue).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</si>
</sst>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\ h:mm:ss"/>
    <numFmt numFmtId="165" formatCode="m/d/yy"/>
    <numFmt numFmtId="166" formatCode="0.0"/>
    <numFmt numFmtId="167" formatCode="#,##0.0"/>
    <numFmt numFmtId="168" formatCode="0.0%"/>
  </numFmts>
  <fonts count="5" x14ac:knownFonts="1">
    <font>
      <sz val="10"/>
      <color rgb="FF000000"/>
      <name val="Arial"/>
      <charset val="1"/>
    </font>
    <font>
      <sz val="11"/>
      <color theme="1"/>
      <name val="Arial"/>
      <charset val="1"/>
    </font>
    <font>
      <sz val="10"/>
      <name val="Arial"/>
      <family val="2"/>
    </font>
    <font>
      <b/>
      <sz val="11"/>
      <name val="Arial"/>
      <charset val="1"/>
    </font>
    <font>
      <sz val="1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65" fontId="1" fillId="0" borderId="0" xfId="0" applyNumberFormat="1" applyFont="1" applyAlignment="1">
      <alignment vertical="center"/>
    </xf>
    <xf numFmtId="0" fontId="3" fillId="0" borderId="0" xfId="0" applyFont="1" applyAlignment="1">
      <alignment vertical="top" wrapText="1"/>
    </xf>
    <xf numFmtId="164" fontId="4" fillId="0" borderId="0" xfId="0" applyNumberFormat="1" applyFont="1"/>
    <xf numFmtId="0" fontId="4" fillId="0" borderId="0" xfId="0" applyFont="1" applyAlignment="1">
      <alignment horizontal="left"/>
    </xf>
    <xf numFmtId="3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top" wrapText="1"/>
    </xf>
    <xf numFmtId="1" fontId="4" fillId="0" borderId="0" xfId="0" applyNumberFormat="1" applyFont="1"/>
    <xf numFmtId="168" fontId="4" fillId="0" borderId="0" xfId="0" applyNumberFormat="1" applyFont="1"/>
    <xf numFmtId="1" fontId="3" fillId="0" borderId="0" xfId="0" applyNumberFormat="1" applyFont="1"/>
    <xf numFmtId="168" fontId="3" fillId="0" borderId="0" xfId="0" applyNumberFormat="1" applyFont="1"/>
    <xf numFmtId="3" fontId="4" fillId="0" borderId="0" xfId="0" applyNumberFormat="1" applyFont="1"/>
    <xf numFmtId="166" fontId="4" fillId="0" borderId="0" xfId="0" applyNumberFormat="1" applyFont="1"/>
    <xf numFmtId="2" fontId="4" fillId="0" borderId="0" xfId="0" applyNumberFormat="1" applyFont="1"/>
    <xf numFmtId="167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K44" totalsRowShown="0">
  <tableColumns count="11">
    <tableColumn id="1" xr3:uid="{00000000-0010-0000-0000-000001000000}" name="Timestamp"/>
    <tableColumn id="2" xr3:uid="{00000000-0010-0000-0000-000002000000}" name="1. আপনার Easy-bike/E-rickshaw-এ বর্তমানে কোন ধরনের ব্যাটারি ব্যবহার করছেন? "/>
    <tableColumn id="3" xr3:uid="{00000000-0010-0000-0000-000003000000}" name="2. আপনার বর্তমান ব্যাটারি সেটটি কিনতে কত টাকা খরচ হয়েছিল?  "/>
    <tableColumn id="4" xr3:uid="{00000000-0010-0000-0000-000004000000}" name="আপনার ব্যাটারি সেটে মোট কতটি ব্যাটারি আছে এবং প্রতিটি ব্যাটারির ভোল্টেজ/ক্যাপাসিটি কত?  _x000a_ব্যাটারির সংখ্যা: ______ টি_x000a_ভোল্টেজ (V): _______x000a_ক্যাপাসিটি (Ah): ______"/>
    <tableColumn id="5" xr3:uid="{00000000-0010-0000-0000-000005000000}" name="  আপনি প্রতিদিন গড়ে কত কিলোমিটার Easy-bike/E-rickshaw চালান?  "/>
    <tableColumn id="6" xr3:uid="{00000000-0010-0000-0000-000006000000}" name="  সাধারণত প্রতিদিন কয়বার ব্যাটারি চার্জ করেন?  "/>
    <tableColumn id="7" xr3:uid="{00000000-0010-0000-0000-000007000000}" name="একবার সম্পূর্ণ চার্জ করতে আনুমানিক কত টাকা খরচ হয়?  "/>
    <tableColumn id="8" xr3:uid="{00000000-0010-0000-0000-000008000000}" name="আপনার বর্তমান ব্যাটারি সেটটি কতদিন (মাস) ধরে ব্যবহার করছেন?  "/>
    <tableColumn id="9" xr3:uid="{00000000-0010-0000-0000-000009000000}" name="  সাধারণত নতুন ব্যাটারি সেট কতদিন ব্যবহার করার পর পরিবর্তন করতে হয়?  "/>
    <tableColumn id="10" xr3:uid="{00000000-0010-0000-0000-00000A000000}" name=" ৯. আপনার ব্যাটারি বর্তমানে সবচেয়ে বেশি কোন সমস্যায় পড়ছে?  "/>
    <tableColumn id="11" xr3:uid="{00000000-0010-0000-0000-00000B000000}" name=" ১০. পুরোনো ব্যাটারি পরিবর্তনের সময় বিক্রি করলে আনুমানিক কত টাকা পাওয়া যায়?  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zoomScaleNormal="100" workbookViewId="0">
      <pane ySplit="1" topLeftCell="A2" activePane="bottomLeft" state="frozen"/>
      <selection pane="bottomLeft" activeCell="D5" sqref="D5"/>
    </sheetView>
  </sheetViews>
  <sheetFormatPr defaultColWidth="12.5703125" defaultRowHeight="12.75" x14ac:dyDescent="0.2"/>
  <cols>
    <col min="1" max="1" width="22" customWidth="1"/>
    <col min="2" max="2" width="20.7109375" customWidth="1"/>
    <col min="3" max="3" width="25.85546875" customWidth="1"/>
    <col min="4" max="4" width="35.42578125" customWidth="1"/>
    <col min="5" max="5" width="33.5703125" customWidth="1"/>
    <col min="6" max="6" width="36.42578125" customWidth="1"/>
    <col min="7" max="11" width="37.5703125" customWidth="1"/>
    <col min="12" max="17" width="18.85546875" customWidth="1"/>
  </cols>
  <sheetData>
    <row r="1" spans="1:11" ht="30.7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5" customHeight="1" x14ac:dyDescent="0.2">
      <c r="A2" s="3">
        <v>46303.032848460702</v>
      </c>
      <c r="B2" s="4" t="s">
        <v>11</v>
      </c>
      <c r="C2" s="5" t="s">
        <v>12</v>
      </c>
      <c r="D2" s="4" t="s">
        <v>13</v>
      </c>
      <c r="E2" s="4" t="s">
        <v>14</v>
      </c>
      <c r="F2" s="4" t="s">
        <v>15</v>
      </c>
      <c r="G2" s="5">
        <v>25</v>
      </c>
      <c r="H2" s="5">
        <v>3</v>
      </c>
      <c r="I2" s="5" t="s">
        <v>16</v>
      </c>
      <c r="J2" s="5" t="s">
        <v>17</v>
      </c>
      <c r="K2" s="5" t="s">
        <v>18</v>
      </c>
    </row>
    <row r="3" spans="1:11" ht="22.5" customHeight="1" x14ac:dyDescent="0.2">
      <c r="A3" s="3">
        <v>46308.8367335648</v>
      </c>
      <c r="B3" s="4" t="s">
        <v>11</v>
      </c>
      <c r="C3" s="4">
        <v>75000</v>
      </c>
      <c r="D3" s="4" t="s">
        <v>19</v>
      </c>
      <c r="E3" s="4" t="s">
        <v>20</v>
      </c>
      <c r="F3" s="4" t="s">
        <v>15</v>
      </c>
      <c r="G3" s="5" t="s">
        <v>21</v>
      </c>
      <c r="H3" s="5" t="s">
        <v>22</v>
      </c>
      <c r="I3" s="5" t="s">
        <v>16</v>
      </c>
      <c r="J3" s="5" t="s">
        <v>17</v>
      </c>
      <c r="K3" s="5">
        <v>35000</v>
      </c>
    </row>
    <row r="4" spans="1:11" ht="22.5" customHeight="1" x14ac:dyDescent="0.2">
      <c r="A4" s="3">
        <v>46312.726458576399</v>
      </c>
      <c r="B4" s="4" t="s">
        <v>11</v>
      </c>
      <c r="C4" s="4">
        <v>29500</v>
      </c>
      <c r="D4" s="4" t="s">
        <v>23</v>
      </c>
      <c r="E4" s="4" t="s">
        <v>24</v>
      </c>
      <c r="F4" s="4" t="s">
        <v>15</v>
      </c>
      <c r="G4" s="5" t="s">
        <v>25</v>
      </c>
      <c r="H4" s="5" t="s">
        <v>26</v>
      </c>
      <c r="I4" s="5" t="s">
        <v>27</v>
      </c>
      <c r="J4" s="5" t="s">
        <v>28</v>
      </c>
      <c r="K4" s="5">
        <v>11500</v>
      </c>
    </row>
    <row r="5" spans="1:11" ht="22.5" customHeight="1" x14ac:dyDescent="0.2">
      <c r="A5" s="3">
        <v>46312.727270972202</v>
      </c>
      <c r="B5" s="4" t="s">
        <v>11</v>
      </c>
      <c r="C5" s="4">
        <v>27500</v>
      </c>
      <c r="D5" s="4" t="s">
        <v>29</v>
      </c>
      <c r="E5" s="4" t="s">
        <v>20</v>
      </c>
      <c r="F5" s="4" t="s">
        <v>15</v>
      </c>
      <c r="G5" s="5" t="s">
        <v>25</v>
      </c>
      <c r="H5" s="5" t="s">
        <v>30</v>
      </c>
      <c r="I5" s="5" t="s">
        <v>16</v>
      </c>
      <c r="J5" s="5" t="s">
        <v>17</v>
      </c>
      <c r="K5" s="5" t="s">
        <v>31</v>
      </c>
    </row>
    <row r="6" spans="1:11" ht="22.5" customHeight="1" x14ac:dyDescent="0.2">
      <c r="A6" s="3">
        <v>46312.7365218634</v>
      </c>
      <c r="B6" s="4" t="s">
        <v>11</v>
      </c>
      <c r="C6" s="4">
        <v>28500</v>
      </c>
      <c r="D6" s="4" t="s">
        <v>23</v>
      </c>
      <c r="E6" s="4" t="s">
        <v>14</v>
      </c>
      <c r="F6" s="4" t="s">
        <v>32</v>
      </c>
      <c r="G6" s="5" t="s">
        <v>33</v>
      </c>
      <c r="H6" s="5" t="s">
        <v>34</v>
      </c>
      <c r="I6" s="5" t="s">
        <v>16</v>
      </c>
      <c r="J6" s="5" t="s">
        <v>35</v>
      </c>
      <c r="K6" s="5">
        <v>13700</v>
      </c>
    </row>
    <row r="7" spans="1:11" ht="22.5" customHeight="1" x14ac:dyDescent="0.2">
      <c r="A7" s="3">
        <v>46314.340792928197</v>
      </c>
      <c r="B7" s="4" t="s">
        <v>36</v>
      </c>
      <c r="C7" s="5" t="s">
        <v>37</v>
      </c>
      <c r="D7" s="4" t="s">
        <v>38</v>
      </c>
      <c r="E7" s="4" t="s">
        <v>14</v>
      </c>
      <c r="F7" s="4" t="s">
        <v>15</v>
      </c>
      <c r="G7" s="5" t="s">
        <v>39</v>
      </c>
      <c r="H7" s="5" t="s">
        <v>40</v>
      </c>
      <c r="I7" s="5" t="s">
        <v>41</v>
      </c>
      <c r="J7" s="5" t="s">
        <v>42</v>
      </c>
      <c r="K7" s="5" t="s">
        <v>43</v>
      </c>
    </row>
    <row r="8" spans="1:11" ht="22.5" customHeight="1" x14ac:dyDescent="0.2">
      <c r="A8" s="3">
        <v>46321.010768252301</v>
      </c>
      <c r="B8" s="4" t="s">
        <v>36</v>
      </c>
      <c r="C8" s="5" t="s">
        <v>44</v>
      </c>
      <c r="D8" s="4" t="s">
        <v>45</v>
      </c>
      <c r="E8" s="4" t="s">
        <v>14</v>
      </c>
      <c r="F8" s="4" t="s">
        <v>15</v>
      </c>
      <c r="G8" s="5" t="s">
        <v>46</v>
      </c>
      <c r="H8" s="5" t="s">
        <v>47</v>
      </c>
      <c r="I8" s="5" t="s">
        <v>27</v>
      </c>
      <c r="J8" s="5" t="s">
        <v>42</v>
      </c>
      <c r="K8" s="5" t="s">
        <v>48</v>
      </c>
    </row>
    <row r="9" spans="1:11" ht="22.5" customHeight="1" x14ac:dyDescent="0.2">
      <c r="A9" s="3">
        <v>46322.903135960703</v>
      </c>
      <c r="B9" s="4" t="s">
        <v>11</v>
      </c>
      <c r="C9" s="4">
        <v>27500</v>
      </c>
      <c r="D9" s="4" t="s">
        <v>45</v>
      </c>
      <c r="E9" s="4" t="s">
        <v>24</v>
      </c>
      <c r="F9" s="4" t="s">
        <v>15</v>
      </c>
      <c r="G9" s="5" t="s">
        <v>49</v>
      </c>
      <c r="H9" s="5" t="s">
        <v>50</v>
      </c>
      <c r="I9" s="5" t="s">
        <v>27</v>
      </c>
      <c r="J9" s="5" t="s">
        <v>42</v>
      </c>
      <c r="K9" s="5" t="s">
        <v>51</v>
      </c>
    </row>
    <row r="10" spans="1:11" ht="22.5" customHeight="1" x14ac:dyDescent="0.2">
      <c r="A10" s="3">
        <v>46322.904178368102</v>
      </c>
      <c r="B10" s="4" t="s">
        <v>11</v>
      </c>
      <c r="C10" s="4">
        <v>26000</v>
      </c>
      <c r="D10" s="4" t="s">
        <v>52</v>
      </c>
      <c r="E10" s="4" t="s">
        <v>24</v>
      </c>
      <c r="F10" s="4" t="s">
        <v>15</v>
      </c>
      <c r="G10" s="5" t="s">
        <v>46</v>
      </c>
      <c r="H10" s="5" t="s">
        <v>50</v>
      </c>
      <c r="I10" s="5" t="s">
        <v>27</v>
      </c>
      <c r="J10" s="5" t="s">
        <v>42</v>
      </c>
      <c r="K10" s="5" t="s">
        <v>53</v>
      </c>
    </row>
    <row r="11" spans="1:11" ht="22.5" customHeight="1" x14ac:dyDescent="0.2">
      <c r="A11" s="3">
        <v>46322.905034675903</v>
      </c>
      <c r="B11" s="4" t="s">
        <v>11</v>
      </c>
      <c r="C11" s="4">
        <v>28000</v>
      </c>
      <c r="D11" s="4" t="s">
        <v>52</v>
      </c>
      <c r="E11" s="4" t="s">
        <v>24</v>
      </c>
      <c r="F11" s="4" t="s">
        <v>15</v>
      </c>
      <c r="G11" s="5" t="s">
        <v>46</v>
      </c>
      <c r="H11" s="5" t="s">
        <v>54</v>
      </c>
      <c r="I11" s="5" t="s">
        <v>27</v>
      </c>
      <c r="J11" s="5" t="s">
        <v>42</v>
      </c>
      <c r="K11" s="5" t="s">
        <v>51</v>
      </c>
    </row>
    <row r="12" spans="1:11" ht="22.5" customHeight="1" x14ac:dyDescent="0.2">
      <c r="A12" s="3">
        <v>46322.906204907398</v>
      </c>
      <c r="B12" s="4" t="s">
        <v>11</v>
      </c>
      <c r="C12" s="5">
        <v>26000</v>
      </c>
      <c r="D12" s="4" t="s">
        <v>55</v>
      </c>
      <c r="E12" s="4" t="s">
        <v>24</v>
      </c>
      <c r="F12" s="4" t="s">
        <v>15</v>
      </c>
      <c r="G12" s="5" t="s">
        <v>46</v>
      </c>
      <c r="H12" s="5" t="s">
        <v>56</v>
      </c>
      <c r="I12" s="5" t="s">
        <v>27</v>
      </c>
      <c r="J12" s="5" t="s">
        <v>42</v>
      </c>
      <c r="K12" s="5" t="s">
        <v>57</v>
      </c>
    </row>
    <row r="13" spans="1:11" ht="22.5" customHeight="1" x14ac:dyDescent="0.2">
      <c r="A13" s="3">
        <v>46322.907072766197</v>
      </c>
      <c r="B13" s="4" t="s">
        <v>11</v>
      </c>
      <c r="C13" s="5">
        <v>28000</v>
      </c>
      <c r="D13" s="4" t="s">
        <v>52</v>
      </c>
      <c r="E13" s="4" t="s">
        <v>14</v>
      </c>
      <c r="F13" s="4" t="s">
        <v>15</v>
      </c>
      <c r="G13" s="5" t="s">
        <v>58</v>
      </c>
      <c r="H13" s="5" t="s">
        <v>50</v>
      </c>
      <c r="I13" s="5" t="s">
        <v>27</v>
      </c>
      <c r="J13" s="5" t="s">
        <v>42</v>
      </c>
      <c r="K13" s="5" t="s">
        <v>59</v>
      </c>
    </row>
    <row r="14" spans="1:11" ht="22.5" customHeight="1" x14ac:dyDescent="0.2">
      <c r="A14" s="3">
        <v>46322.908211747701</v>
      </c>
      <c r="B14" s="4" t="s">
        <v>11</v>
      </c>
      <c r="C14" s="5">
        <v>27500</v>
      </c>
      <c r="D14" s="4" t="s">
        <v>60</v>
      </c>
      <c r="E14" s="4" t="s">
        <v>24</v>
      </c>
      <c r="F14" s="4" t="s">
        <v>15</v>
      </c>
      <c r="G14" s="5" t="s">
        <v>61</v>
      </c>
      <c r="H14" s="5" t="s">
        <v>56</v>
      </c>
      <c r="I14" s="5" t="s">
        <v>27</v>
      </c>
      <c r="J14" s="5" t="s">
        <v>42</v>
      </c>
      <c r="K14" s="5" t="s">
        <v>62</v>
      </c>
    </row>
    <row r="15" spans="1:11" ht="22.5" customHeight="1" x14ac:dyDescent="0.2">
      <c r="A15" s="3">
        <v>46322.909493425897</v>
      </c>
      <c r="B15" s="4" t="s">
        <v>11</v>
      </c>
      <c r="C15" s="5">
        <v>26500</v>
      </c>
      <c r="D15" s="4" t="s">
        <v>52</v>
      </c>
      <c r="E15" s="4" t="s">
        <v>24</v>
      </c>
      <c r="F15" s="4" t="s">
        <v>15</v>
      </c>
      <c r="G15" s="5" t="s">
        <v>46</v>
      </c>
      <c r="H15" s="5" t="s">
        <v>56</v>
      </c>
      <c r="I15" s="5" t="s">
        <v>63</v>
      </c>
      <c r="J15" s="5" t="s">
        <v>42</v>
      </c>
      <c r="K15" s="5" t="s">
        <v>64</v>
      </c>
    </row>
    <row r="16" spans="1:11" ht="22.5" customHeight="1" x14ac:dyDescent="0.2">
      <c r="A16" s="3">
        <v>46322.910360798604</v>
      </c>
      <c r="B16" s="4" t="s">
        <v>11</v>
      </c>
      <c r="C16" s="5">
        <v>26000</v>
      </c>
      <c r="D16" s="4" t="s">
        <v>45</v>
      </c>
      <c r="E16" s="4" t="s">
        <v>24</v>
      </c>
      <c r="F16" s="4" t="s">
        <v>15</v>
      </c>
      <c r="G16" s="5" t="s">
        <v>46</v>
      </c>
      <c r="H16" s="5" t="s">
        <v>65</v>
      </c>
      <c r="I16" s="5" t="s">
        <v>27</v>
      </c>
      <c r="J16" s="5" t="s">
        <v>42</v>
      </c>
      <c r="K16" s="5" t="s">
        <v>51</v>
      </c>
    </row>
    <row r="17" spans="1:11" ht="22.5" customHeight="1" x14ac:dyDescent="0.2">
      <c r="A17" s="3">
        <v>46322.911264583301</v>
      </c>
      <c r="B17" s="4" t="s">
        <v>11</v>
      </c>
      <c r="C17" s="5" t="s">
        <v>37</v>
      </c>
      <c r="D17" s="4" t="s">
        <v>52</v>
      </c>
      <c r="E17" s="4" t="s">
        <v>14</v>
      </c>
      <c r="F17" s="4" t="s">
        <v>15</v>
      </c>
      <c r="G17" s="5" t="s">
        <v>46</v>
      </c>
      <c r="H17" s="5" t="s">
        <v>56</v>
      </c>
      <c r="I17" s="5" t="s">
        <v>27</v>
      </c>
      <c r="J17" s="5" t="s">
        <v>42</v>
      </c>
      <c r="K17" s="5" t="s">
        <v>59</v>
      </c>
    </row>
    <row r="18" spans="1:11" ht="22.5" customHeight="1" x14ac:dyDescent="0.2">
      <c r="A18" s="3">
        <v>46322.914078958303</v>
      </c>
      <c r="B18" s="4" t="s">
        <v>11</v>
      </c>
      <c r="C18" s="5" t="s">
        <v>66</v>
      </c>
      <c r="D18" s="4" t="s">
        <v>52</v>
      </c>
      <c r="E18" s="4" t="s">
        <v>14</v>
      </c>
      <c r="F18" s="4" t="s">
        <v>15</v>
      </c>
      <c r="G18" s="5" t="s">
        <v>46</v>
      </c>
      <c r="H18" s="5" t="s">
        <v>50</v>
      </c>
      <c r="I18" s="5" t="s">
        <v>27</v>
      </c>
      <c r="J18" s="5" t="s">
        <v>42</v>
      </c>
      <c r="K18" s="5" t="s">
        <v>62</v>
      </c>
    </row>
    <row r="19" spans="1:11" ht="22.5" customHeight="1" x14ac:dyDescent="0.2">
      <c r="A19" s="6">
        <v>46313</v>
      </c>
      <c r="B19" s="4" t="s">
        <v>11</v>
      </c>
      <c r="C19" s="5" t="s">
        <v>67</v>
      </c>
      <c r="D19" s="4" t="s">
        <v>68</v>
      </c>
      <c r="E19" s="4" t="s">
        <v>69</v>
      </c>
      <c r="F19" s="4" t="s">
        <v>70</v>
      </c>
      <c r="G19" s="5" t="s">
        <v>71</v>
      </c>
      <c r="H19" s="5" t="s">
        <v>72</v>
      </c>
      <c r="I19" s="5" t="s">
        <v>73</v>
      </c>
      <c r="J19" s="5" t="s">
        <v>42</v>
      </c>
      <c r="K19" s="5" t="s">
        <v>74</v>
      </c>
    </row>
    <row r="20" spans="1:11" ht="22.5" customHeight="1" x14ac:dyDescent="0.2">
      <c r="A20" s="6">
        <v>46314</v>
      </c>
      <c r="B20" s="4" t="s">
        <v>11</v>
      </c>
      <c r="C20" s="5" t="s">
        <v>75</v>
      </c>
      <c r="D20" s="4" t="s">
        <v>68</v>
      </c>
      <c r="E20" s="4" t="s">
        <v>76</v>
      </c>
      <c r="F20" s="4" t="s">
        <v>70</v>
      </c>
      <c r="G20" s="5" t="s">
        <v>77</v>
      </c>
      <c r="H20" s="5" t="s">
        <v>78</v>
      </c>
      <c r="I20" s="5" t="s">
        <v>79</v>
      </c>
      <c r="J20" s="5" t="s">
        <v>80</v>
      </c>
      <c r="K20" s="5" t="s">
        <v>81</v>
      </c>
    </row>
    <row r="21" spans="1:11" ht="22.5" customHeight="1" x14ac:dyDescent="0.2">
      <c r="A21" s="6">
        <v>46315</v>
      </c>
      <c r="B21" s="4" t="s">
        <v>36</v>
      </c>
      <c r="C21" s="5" t="s">
        <v>82</v>
      </c>
      <c r="D21" s="4" t="s">
        <v>83</v>
      </c>
      <c r="E21" s="4" t="s">
        <v>84</v>
      </c>
      <c r="F21" s="4" t="s">
        <v>70</v>
      </c>
      <c r="G21" s="5" t="s">
        <v>85</v>
      </c>
      <c r="H21" s="5" t="s">
        <v>86</v>
      </c>
      <c r="I21" s="5" t="s">
        <v>87</v>
      </c>
      <c r="J21" s="5" t="s">
        <v>42</v>
      </c>
      <c r="K21" s="5" t="s">
        <v>88</v>
      </c>
    </row>
    <row r="22" spans="1:11" ht="22.5" customHeight="1" x14ac:dyDescent="0.2">
      <c r="A22" s="6">
        <v>46316</v>
      </c>
      <c r="B22" s="4" t="s">
        <v>11</v>
      </c>
      <c r="C22" s="5" t="s">
        <v>89</v>
      </c>
      <c r="D22" s="4" t="s">
        <v>68</v>
      </c>
      <c r="E22" s="4" t="s">
        <v>90</v>
      </c>
      <c r="F22" s="4" t="s">
        <v>70</v>
      </c>
      <c r="G22" s="5" t="s">
        <v>91</v>
      </c>
      <c r="H22" s="5" t="s">
        <v>92</v>
      </c>
      <c r="I22" s="5" t="s">
        <v>93</v>
      </c>
      <c r="J22" s="5" t="s">
        <v>94</v>
      </c>
      <c r="K22" s="5" t="s">
        <v>81</v>
      </c>
    </row>
    <row r="23" spans="1:11" ht="22.5" customHeight="1" x14ac:dyDescent="0.2">
      <c r="A23" s="6">
        <v>46315</v>
      </c>
      <c r="B23" s="4" t="s">
        <v>11</v>
      </c>
      <c r="C23" s="5" t="s">
        <v>95</v>
      </c>
      <c r="D23" s="4" t="s">
        <v>96</v>
      </c>
      <c r="E23" s="4" t="s">
        <v>97</v>
      </c>
      <c r="F23" s="4" t="s">
        <v>98</v>
      </c>
      <c r="G23" s="5" t="s">
        <v>99</v>
      </c>
      <c r="H23" s="5" t="s">
        <v>100</v>
      </c>
      <c r="I23" s="5" t="s">
        <v>101</v>
      </c>
      <c r="J23" s="5" t="s">
        <v>42</v>
      </c>
      <c r="K23" s="5" t="s">
        <v>102</v>
      </c>
    </row>
    <row r="24" spans="1:11" ht="22.5" customHeight="1" x14ac:dyDescent="0.2">
      <c r="A24" s="6">
        <v>46317</v>
      </c>
      <c r="B24" s="4" t="s">
        <v>36</v>
      </c>
      <c r="C24" s="5" t="s">
        <v>103</v>
      </c>
      <c r="D24" s="4" t="s">
        <v>83</v>
      </c>
      <c r="E24" s="4" t="s">
        <v>104</v>
      </c>
      <c r="F24" s="4" t="s">
        <v>70</v>
      </c>
      <c r="G24" s="5" t="s">
        <v>105</v>
      </c>
      <c r="H24" s="5" t="s">
        <v>72</v>
      </c>
      <c r="I24" s="5" t="s">
        <v>87</v>
      </c>
      <c r="J24" s="5" t="s">
        <v>106</v>
      </c>
      <c r="K24" s="5" t="s">
        <v>107</v>
      </c>
    </row>
    <row r="25" spans="1:11" ht="22.5" customHeight="1" x14ac:dyDescent="0.2">
      <c r="A25" s="6">
        <v>46317</v>
      </c>
      <c r="B25" s="4" t="s">
        <v>11</v>
      </c>
      <c r="C25" s="5" t="s">
        <v>89</v>
      </c>
      <c r="D25" s="4" t="s">
        <v>96</v>
      </c>
      <c r="E25" s="4" t="s">
        <v>84</v>
      </c>
      <c r="F25" s="4" t="s">
        <v>98</v>
      </c>
      <c r="G25" s="5" t="s">
        <v>108</v>
      </c>
      <c r="H25" s="5" t="s">
        <v>109</v>
      </c>
      <c r="I25" s="5" t="s">
        <v>110</v>
      </c>
      <c r="J25" s="5" t="s">
        <v>42</v>
      </c>
      <c r="K25" s="5" t="s">
        <v>88</v>
      </c>
    </row>
    <row r="26" spans="1:11" ht="22.5" customHeight="1" x14ac:dyDescent="0.2">
      <c r="A26" s="6">
        <v>46318</v>
      </c>
      <c r="B26" s="4" t="s">
        <v>11</v>
      </c>
      <c r="C26" s="5" t="s">
        <v>111</v>
      </c>
      <c r="D26" s="4" t="s">
        <v>96</v>
      </c>
      <c r="E26" s="4" t="s">
        <v>112</v>
      </c>
      <c r="F26" s="4" t="s">
        <v>70</v>
      </c>
      <c r="G26" s="5" t="s">
        <v>91</v>
      </c>
      <c r="H26" s="5" t="s">
        <v>113</v>
      </c>
      <c r="I26" s="5" t="s">
        <v>114</v>
      </c>
      <c r="J26" s="5" t="s">
        <v>42</v>
      </c>
      <c r="K26" s="5" t="s">
        <v>115</v>
      </c>
    </row>
    <row r="27" spans="1:11" ht="22.5" customHeight="1" x14ac:dyDescent="0.2">
      <c r="A27" s="6">
        <v>46318</v>
      </c>
      <c r="B27" s="4" t="s">
        <v>11</v>
      </c>
      <c r="C27" s="5" t="s">
        <v>116</v>
      </c>
      <c r="D27" s="4" t="s">
        <v>117</v>
      </c>
      <c r="E27" s="4" t="s">
        <v>84</v>
      </c>
      <c r="F27" s="4" t="s">
        <v>70</v>
      </c>
      <c r="G27" s="5" t="s">
        <v>108</v>
      </c>
      <c r="H27" s="5" t="s">
        <v>118</v>
      </c>
      <c r="I27" s="5" t="s">
        <v>119</v>
      </c>
      <c r="J27" s="5" t="s">
        <v>42</v>
      </c>
      <c r="K27" s="5" t="s">
        <v>120</v>
      </c>
    </row>
    <row r="28" spans="1:11" ht="22.5" customHeight="1" x14ac:dyDescent="0.2">
      <c r="A28" s="6">
        <v>46318</v>
      </c>
      <c r="B28" s="4" t="s">
        <v>121</v>
      </c>
      <c r="C28" s="5" t="s">
        <v>122</v>
      </c>
      <c r="D28" s="4" t="s">
        <v>96</v>
      </c>
      <c r="E28" s="4" t="s">
        <v>76</v>
      </c>
      <c r="F28" s="4" t="s">
        <v>70</v>
      </c>
      <c r="G28" s="5" t="s">
        <v>123</v>
      </c>
      <c r="H28" s="5" t="s">
        <v>72</v>
      </c>
      <c r="I28" s="5" t="s">
        <v>124</v>
      </c>
      <c r="J28" s="5" t="s">
        <v>42</v>
      </c>
      <c r="K28" s="5" t="s">
        <v>125</v>
      </c>
    </row>
    <row r="29" spans="1:11" ht="22.5" customHeight="1" x14ac:dyDescent="0.2">
      <c r="A29" s="6">
        <v>46323</v>
      </c>
      <c r="B29" s="4" t="s">
        <v>121</v>
      </c>
      <c r="C29" s="5">
        <v>27000</v>
      </c>
      <c r="D29" s="4" t="s">
        <v>96</v>
      </c>
      <c r="E29" s="4" t="s">
        <v>126</v>
      </c>
      <c r="F29" s="4" t="s">
        <v>70</v>
      </c>
      <c r="G29" s="5" t="s">
        <v>127</v>
      </c>
      <c r="H29" s="5" t="s">
        <v>128</v>
      </c>
      <c r="I29" s="5" t="s">
        <v>40</v>
      </c>
      <c r="J29" s="5" t="s">
        <v>17</v>
      </c>
      <c r="K29" s="5" t="s">
        <v>129</v>
      </c>
    </row>
    <row r="30" spans="1:11" ht="22.5" customHeight="1" x14ac:dyDescent="0.2">
      <c r="A30" s="6">
        <v>46323</v>
      </c>
      <c r="B30" s="4" t="s">
        <v>121</v>
      </c>
      <c r="C30" s="5">
        <v>28500</v>
      </c>
      <c r="D30" s="4" t="s">
        <v>130</v>
      </c>
      <c r="E30" s="4" t="s">
        <v>126</v>
      </c>
      <c r="F30" s="4" t="s">
        <v>70</v>
      </c>
      <c r="G30" s="5" t="s">
        <v>131</v>
      </c>
      <c r="H30" s="5" t="s">
        <v>132</v>
      </c>
      <c r="I30" s="5" t="s">
        <v>40</v>
      </c>
      <c r="J30" s="5" t="s">
        <v>17</v>
      </c>
      <c r="K30" s="5" t="s">
        <v>133</v>
      </c>
    </row>
    <row r="31" spans="1:11" ht="22.5" customHeight="1" x14ac:dyDescent="0.2">
      <c r="A31" s="6">
        <v>46323</v>
      </c>
      <c r="B31" s="4" t="s">
        <v>121</v>
      </c>
      <c r="C31" s="5">
        <v>26000</v>
      </c>
      <c r="D31" s="4" t="s">
        <v>96</v>
      </c>
      <c r="E31" s="4" t="s">
        <v>126</v>
      </c>
      <c r="F31" s="4" t="s">
        <v>70</v>
      </c>
      <c r="G31" s="5" t="s">
        <v>134</v>
      </c>
      <c r="H31" s="5" t="s">
        <v>128</v>
      </c>
      <c r="I31" s="5" t="s">
        <v>40</v>
      </c>
      <c r="J31" s="5" t="s">
        <v>17</v>
      </c>
      <c r="K31" s="5" t="s">
        <v>133</v>
      </c>
    </row>
    <row r="32" spans="1:11" ht="22.5" customHeight="1" x14ac:dyDescent="0.2">
      <c r="A32" s="6">
        <v>46323</v>
      </c>
      <c r="B32" s="4" t="s">
        <v>121</v>
      </c>
      <c r="C32" s="5">
        <v>35500</v>
      </c>
      <c r="D32" s="4" t="s">
        <v>117</v>
      </c>
      <c r="E32" s="4" t="s">
        <v>135</v>
      </c>
      <c r="F32" s="4" t="s">
        <v>70</v>
      </c>
      <c r="G32" s="5" t="s">
        <v>136</v>
      </c>
      <c r="H32" s="5" t="s">
        <v>132</v>
      </c>
      <c r="I32" s="5" t="s">
        <v>137</v>
      </c>
      <c r="J32" s="5" t="s">
        <v>17</v>
      </c>
      <c r="K32" s="5" t="s">
        <v>138</v>
      </c>
    </row>
    <row r="33" spans="1:11" ht="22.5" customHeight="1" x14ac:dyDescent="0.2">
      <c r="A33" s="6">
        <v>46323</v>
      </c>
      <c r="B33" s="4" t="s">
        <v>36</v>
      </c>
      <c r="C33" s="5" t="s">
        <v>139</v>
      </c>
      <c r="D33" s="4" t="s">
        <v>96</v>
      </c>
      <c r="E33" s="4" t="s">
        <v>135</v>
      </c>
      <c r="F33" s="4" t="s">
        <v>70</v>
      </c>
      <c r="G33" s="5" t="s">
        <v>140</v>
      </c>
      <c r="H33" s="5" t="s">
        <v>132</v>
      </c>
      <c r="I33" s="5" t="s">
        <v>141</v>
      </c>
      <c r="J33" s="5" t="s">
        <v>42</v>
      </c>
      <c r="K33" s="5" t="s">
        <v>142</v>
      </c>
    </row>
    <row r="34" spans="1:11" ht="22.5" customHeight="1" x14ac:dyDescent="0.2">
      <c r="A34" s="6">
        <v>46323</v>
      </c>
      <c r="B34" s="4" t="s">
        <v>121</v>
      </c>
      <c r="C34" s="5">
        <v>28500</v>
      </c>
      <c r="D34" s="4" t="s">
        <v>96</v>
      </c>
      <c r="E34" s="4" t="s">
        <v>143</v>
      </c>
      <c r="F34" s="4" t="s">
        <v>98</v>
      </c>
      <c r="G34" s="5" t="s">
        <v>134</v>
      </c>
      <c r="H34" s="5" t="s">
        <v>128</v>
      </c>
      <c r="I34" s="5" t="s">
        <v>40</v>
      </c>
      <c r="J34" s="5" t="s">
        <v>42</v>
      </c>
      <c r="K34" s="5" t="s">
        <v>129</v>
      </c>
    </row>
    <row r="35" spans="1:11" ht="22.5" customHeight="1" x14ac:dyDescent="0.2">
      <c r="A35" s="6">
        <v>46323</v>
      </c>
      <c r="B35" s="4" t="s">
        <v>121</v>
      </c>
      <c r="C35" s="5">
        <v>27000</v>
      </c>
      <c r="D35" s="4" t="s">
        <v>96</v>
      </c>
      <c r="E35" s="4" t="s">
        <v>144</v>
      </c>
      <c r="F35" s="4" t="s">
        <v>70</v>
      </c>
      <c r="G35" s="5" t="s">
        <v>131</v>
      </c>
      <c r="H35" s="5" t="s">
        <v>132</v>
      </c>
      <c r="I35" s="5" t="s">
        <v>40</v>
      </c>
      <c r="J35" s="5" t="s">
        <v>42</v>
      </c>
      <c r="K35" s="5" t="s">
        <v>129</v>
      </c>
    </row>
    <row r="36" spans="1:11" ht="22.5" customHeight="1" x14ac:dyDescent="0.2">
      <c r="A36" s="6">
        <v>46323</v>
      </c>
      <c r="B36" s="4" t="s">
        <v>121</v>
      </c>
      <c r="C36" s="5">
        <v>26500</v>
      </c>
      <c r="D36" s="4" t="s">
        <v>96</v>
      </c>
      <c r="E36" s="4" t="s">
        <v>144</v>
      </c>
      <c r="F36" s="4" t="s">
        <v>70</v>
      </c>
      <c r="G36" s="5" t="s">
        <v>134</v>
      </c>
      <c r="H36" s="5" t="s">
        <v>132</v>
      </c>
      <c r="I36" s="5" t="s">
        <v>40</v>
      </c>
      <c r="J36" s="5" t="s">
        <v>42</v>
      </c>
      <c r="K36" s="5" t="s">
        <v>145</v>
      </c>
    </row>
    <row r="37" spans="1:11" ht="22.5" customHeight="1" x14ac:dyDescent="0.2">
      <c r="A37" s="6">
        <v>46323</v>
      </c>
      <c r="B37" s="4" t="s">
        <v>121</v>
      </c>
      <c r="C37" s="5" t="s">
        <v>37</v>
      </c>
      <c r="D37" s="4" t="s">
        <v>146</v>
      </c>
      <c r="E37" s="4" t="s">
        <v>135</v>
      </c>
      <c r="F37" s="4" t="s">
        <v>98</v>
      </c>
      <c r="G37" s="5" t="s">
        <v>140</v>
      </c>
      <c r="H37" s="5" t="s">
        <v>132</v>
      </c>
      <c r="I37" s="5" t="s">
        <v>141</v>
      </c>
      <c r="J37" s="5" t="s">
        <v>42</v>
      </c>
      <c r="K37" s="5" t="s">
        <v>147</v>
      </c>
    </row>
    <row r="38" spans="1:11" ht="22.5" customHeight="1" x14ac:dyDescent="0.2">
      <c r="A38" s="6">
        <v>46323</v>
      </c>
      <c r="B38" s="4" t="s">
        <v>121</v>
      </c>
      <c r="C38" s="5">
        <v>28500</v>
      </c>
      <c r="D38" s="4" t="s">
        <v>146</v>
      </c>
      <c r="E38" s="4" t="s">
        <v>126</v>
      </c>
      <c r="F38" s="4" t="s">
        <v>70</v>
      </c>
      <c r="G38" s="5" t="s">
        <v>134</v>
      </c>
      <c r="H38" s="5" t="s">
        <v>128</v>
      </c>
      <c r="I38" s="5" t="s">
        <v>40</v>
      </c>
      <c r="J38" s="5" t="s">
        <v>42</v>
      </c>
      <c r="K38" s="5" t="s">
        <v>129</v>
      </c>
    </row>
    <row r="39" spans="1:11" ht="22.5" customHeight="1" x14ac:dyDescent="0.2">
      <c r="A39" s="6">
        <v>46323</v>
      </c>
      <c r="B39" s="4" t="s">
        <v>121</v>
      </c>
      <c r="C39" s="5">
        <v>36000</v>
      </c>
      <c r="D39" s="4" t="s">
        <v>148</v>
      </c>
      <c r="E39" s="4" t="s">
        <v>126</v>
      </c>
      <c r="F39" s="4" t="s">
        <v>98</v>
      </c>
      <c r="G39" s="5" t="s">
        <v>131</v>
      </c>
      <c r="H39" s="5" t="s">
        <v>132</v>
      </c>
      <c r="I39" s="5" t="s">
        <v>40</v>
      </c>
      <c r="J39" s="5" t="s">
        <v>42</v>
      </c>
      <c r="K39" s="5" t="s">
        <v>147</v>
      </c>
    </row>
    <row r="40" spans="1:11" ht="22.5" customHeight="1" x14ac:dyDescent="0.2">
      <c r="A40" s="6">
        <v>46323</v>
      </c>
      <c r="B40" s="4" t="s">
        <v>121</v>
      </c>
      <c r="C40" s="5">
        <v>36000</v>
      </c>
      <c r="D40" s="4" t="s">
        <v>148</v>
      </c>
      <c r="E40" s="4" t="s">
        <v>126</v>
      </c>
      <c r="F40" s="4" t="s">
        <v>98</v>
      </c>
      <c r="G40" s="5" t="s">
        <v>140</v>
      </c>
      <c r="H40" s="5" t="s">
        <v>132</v>
      </c>
      <c r="I40" s="5" t="s">
        <v>40</v>
      </c>
      <c r="J40" s="5" t="s">
        <v>42</v>
      </c>
      <c r="K40" s="5" t="s">
        <v>147</v>
      </c>
    </row>
    <row r="41" spans="1:11" ht="22.5" customHeight="1" x14ac:dyDescent="0.2">
      <c r="A41" s="6">
        <v>46323</v>
      </c>
      <c r="B41" s="4" t="s">
        <v>121</v>
      </c>
      <c r="C41" s="5">
        <v>28000</v>
      </c>
      <c r="D41" s="4" t="s">
        <v>146</v>
      </c>
      <c r="E41" s="4" t="s">
        <v>126</v>
      </c>
      <c r="F41" s="4" t="s">
        <v>98</v>
      </c>
      <c r="G41" s="5" t="s">
        <v>134</v>
      </c>
      <c r="H41" s="5" t="s">
        <v>132</v>
      </c>
      <c r="I41" s="5" t="s">
        <v>40</v>
      </c>
      <c r="J41" s="5" t="s">
        <v>42</v>
      </c>
      <c r="K41" s="5" t="s">
        <v>129</v>
      </c>
    </row>
    <row r="42" spans="1:11" ht="22.5" customHeight="1" x14ac:dyDescent="0.2">
      <c r="A42" s="6">
        <v>46323</v>
      </c>
      <c r="B42" s="4" t="s">
        <v>121</v>
      </c>
      <c r="C42" s="5">
        <v>27500</v>
      </c>
      <c r="D42" s="4" t="s">
        <v>146</v>
      </c>
      <c r="E42" s="4" t="s">
        <v>126</v>
      </c>
      <c r="F42" s="4" t="s">
        <v>98</v>
      </c>
      <c r="G42" s="5" t="s">
        <v>140</v>
      </c>
      <c r="H42" s="5" t="s">
        <v>132</v>
      </c>
      <c r="I42" s="5" t="s">
        <v>40</v>
      </c>
      <c r="J42" s="5" t="s">
        <v>42</v>
      </c>
      <c r="K42" s="5" t="s">
        <v>129</v>
      </c>
    </row>
    <row r="43" spans="1:11" ht="22.5" customHeight="1" x14ac:dyDescent="0.2">
      <c r="A43" s="6">
        <v>46323</v>
      </c>
      <c r="B43" s="4" t="s">
        <v>121</v>
      </c>
      <c r="C43" s="5">
        <v>26500</v>
      </c>
      <c r="D43" s="4" t="s">
        <v>146</v>
      </c>
      <c r="E43" s="4" t="s">
        <v>126</v>
      </c>
      <c r="F43" s="4" t="s">
        <v>98</v>
      </c>
      <c r="G43" s="5" t="s">
        <v>131</v>
      </c>
      <c r="H43" s="5" t="s">
        <v>132</v>
      </c>
      <c r="I43" s="5" t="s">
        <v>40</v>
      </c>
      <c r="J43" s="5" t="s">
        <v>42</v>
      </c>
      <c r="K43" s="5" t="s">
        <v>129</v>
      </c>
    </row>
    <row r="44" spans="1:11" ht="22.5" customHeight="1" x14ac:dyDescent="0.2">
      <c r="A44" s="6">
        <v>46323</v>
      </c>
      <c r="B44" s="4" t="s">
        <v>121</v>
      </c>
      <c r="C44" s="5">
        <v>27000</v>
      </c>
      <c r="D44" s="4" t="s">
        <v>146</v>
      </c>
      <c r="E44" s="4" t="s">
        <v>126</v>
      </c>
      <c r="F44" s="4" t="s">
        <v>98</v>
      </c>
      <c r="G44" s="5" t="s">
        <v>134</v>
      </c>
      <c r="H44" s="5" t="s">
        <v>128</v>
      </c>
      <c r="I44" s="5" t="s">
        <v>40</v>
      </c>
      <c r="J44" s="5" t="s">
        <v>42</v>
      </c>
      <c r="K44" s="5" t="s">
        <v>129</v>
      </c>
    </row>
  </sheetData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4"/>
  <sheetViews>
    <sheetView zoomScaleNormal="100" workbookViewId="0">
      <pane xSplit="2" ySplit="1" topLeftCell="R2" activePane="bottomRight" state="frozen"/>
      <selection pane="topRight" activeCell="C1" sqref="C1"/>
      <selection pane="bottomLeft" activeCell="A2" sqref="A2"/>
      <selection pane="bottomRight" activeCell="L26" sqref="L26"/>
    </sheetView>
  </sheetViews>
  <sheetFormatPr defaultColWidth="8.7109375" defaultRowHeight="12.75" x14ac:dyDescent="0.2"/>
  <cols>
    <col min="1" max="1" width="20.140625" bestFit="1" customWidth="1"/>
    <col min="2" max="2" width="16" customWidth="1"/>
    <col min="3" max="11" width="18.85546875" customWidth="1"/>
    <col min="12" max="12" width="20" customWidth="1"/>
    <col min="13" max="16" width="18.85546875" customWidth="1"/>
    <col min="17" max="17" width="24" customWidth="1"/>
    <col min="18" max="21" width="18.85546875" customWidth="1"/>
    <col min="22" max="22" width="60" customWidth="1"/>
  </cols>
  <sheetData>
    <row r="1" spans="1:22" ht="45" customHeight="1" x14ac:dyDescent="0.2">
      <c r="A1" s="7" t="s">
        <v>0</v>
      </c>
      <c r="B1" s="7" t="s">
        <v>149</v>
      </c>
      <c r="C1" s="7" t="s">
        <v>150</v>
      </c>
      <c r="D1" s="7" t="s">
        <v>151</v>
      </c>
      <c r="E1" s="7" t="s">
        <v>152</v>
      </c>
      <c r="F1" s="7" t="s">
        <v>153</v>
      </c>
      <c r="G1" s="7" t="s">
        <v>154</v>
      </c>
      <c r="H1" s="7" t="s">
        <v>155</v>
      </c>
      <c r="I1" s="7" t="s">
        <v>156</v>
      </c>
      <c r="J1" s="7" t="s">
        <v>157</v>
      </c>
      <c r="K1" s="7" t="s">
        <v>158</v>
      </c>
      <c r="L1" s="7" t="s">
        <v>159</v>
      </c>
      <c r="M1" s="7" t="s">
        <v>160</v>
      </c>
      <c r="N1" s="7" t="s">
        <v>161</v>
      </c>
      <c r="O1" s="7" t="s">
        <v>162</v>
      </c>
      <c r="P1" s="7" t="s">
        <v>163</v>
      </c>
      <c r="Q1" s="7" t="s">
        <v>164</v>
      </c>
      <c r="R1" s="7" t="s">
        <v>165</v>
      </c>
      <c r="S1" s="7" t="s">
        <v>166</v>
      </c>
      <c r="T1" s="7" t="s">
        <v>167</v>
      </c>
      <c r="U1" s="7" t="s">
        <v>168</v>
      </c>
      <c r="V1" s="7" t="s">
        <v>169</v>
      </c>
    </row>
    <row r="2" spans="1:22" ht="14.25" x14ac:dyDescent="0.2">
      <c r="A2" s="8">
        <v>46303.032848460702</v>
      </c>
      <c r="B2" s="9" t="s">
        <v>11</v>
      </c>
      <c r="C2" s="10">
        <v>26000</v>
      </c>
      <c r="D2" s="11">
        <v>6</v>
      </c>
      <c r="E2" s="11">
        <v>12</v>
      </c>
      <c r="F2" s="11">
        <v>30</v>
      </c>
      <c r="G2" s="11">
        <v>61</v>
      </c>
      <c r="H2" s="11">
        <v>80</v>
      </c>
      <c r="I2" s="12">
        <f t="shared" ref="I2:I44" si="0">IF(H2="",G2,AVERAGE(G2:H2))</f>
        <v>70.5</v>
      </c>
      <c r="J2" s="11">
        <v>1</v>
      </c>
      <c r="K2" s="13">
        <v>600</v>
      </c>
      <c r="L2" s="9" t="s">
        <v>180</v>
      </c>
      <c r="M2" s="12">
        <v>3</v>
      </c>
      <c r="N2" s="11">
        <v>12</v>
      </c>
      <c r="O2" s="11">
        <v>24</v>
      </c>
      <c r="P2" s="12">
        <f t="shared" ref="P2:P44" si="1">IF(COUNT(N2:O2)=0,"",AVERAGE(N2:O2))</f>
        <v>18</v>
      </c>
      <c r="Q2" s="9" t="s">
        <v>171</v>
      </c>
      <c r="R2" s="10">
        <v>13000</v>
      </c>
      <c r="S2" s="10">
        <v>13000</v>
      </c>
      <c r="T2" s="10">
        <f t="shared" ref="T2:T44" si="2">AVERAGE(R2:S2)</f>
        <v>13000</v>
      </c>
      <c r="U2" s="14">
        <f t="shared" ref="U2:U44" si="3">T2/C2</f>
        <v>0.5</v>
      </c>
      <c r="V2" s="9" t="s">
        <v>172</v>
      </c>
    </row>
    <row r="3" spans="1:22" ht="14.25" x14ac:dyDescent="0.2">
      <c r="A3" s="8">
        <v>46308.8367335648</v>
      </c>
      <c r="B3" s="9" t="s">
        <v>11</v>
      </c>
      <c r="C3" s="10">
        <v>75000</v>
      </c>
      <c r="D3" s="11">
        <v>5</v>
      </c>
      <c r="E3" s="11">
        <v>12</v>
      </c>
      <c r="F3" s="11">
        <v>160</v>
      </c>
      <c r="G3" s="11">
        <v>100</v>
      </c>
      <c r="H3" s="11"/>
      <c r="I3" s="12">
        <f t="shared" si="0"/>
        <v>100</v>
      </c>
      <c r="J3" s="11">
        <v>1</v>
      </c>
      <c r="K3" s="13">
        <v>700</v>
      </c>
      <c r="L3" s="9" t="s">
        <v>180</v>
      </c>
      <c r="M3" s="12">
        <v>1</v>
      </c>
      <c r="N3" s="11">
        <v>12</v>
      </c>
      <c r="O3" s="11">
        <v>24</v>
      </c>
      <c r="P3" s="12">
        <f t="shared" si="1"/>
        <v>18</v>
      </c>
      <c r="Q3" s="9" t="s">
        <v>171</v>
      </c>
      <c r="R3" s="10">
        <v>35000</v>
      </c>
      <c r="S3" s="10">
        <v>35000</v>
      </c>
      <c r="T3" s="10">
        <f t="shared" si="2"/>
        <v>35000</v>
      </c>
      <c r="U3" s="14">
        <f t="shared" si="3"/>
        <v>0.46666666666666667</v>
      </c>
      <c r="V3" s="9" t="s">
        <v>173</v>
      </c>
    </row>
    <row r="4" spans="1:22" ht="14.25" x14ac:dyDescent="0.2">
      <c r="A4" s="8">
        <v>46312.726458576399</v>
      </c>
      <c r="B4" s="9" t="s">
        <v>11</v>
      </c>
      <c r="C4" s="10">
        <v>29500</v>
      </c>
      <c r="D4" s="11">
        <v>4</v>
      </c>
      <c r="E4" s="11">
        <v>12</v>
      </c>
      <c r="F4" s="11">
        <v>120</v>
      </c>
      <c r="G4" s="11">
        <v>41</v>
      </c>
      <c r="H4" s="11">
        <v>60</v>
      </c>
      <c r="I4" s="12">
        <f t="shared" si="0"/>
        <v>50.5</v>
      </c>
      <c r="J4" s="11">
        <v>1</v>
      </c>
      <c r="K4" s="13"/>
      <c r="L4" s="9" t="s">
        <v>174</v>
      </c>
      <c r="M4" s="12">
        <v>24</v>
      </c>
      <c r="N4" s="11">
        <v>24</v>
      </c>
      <c r="O4" s="11">
        <v>36</v>
      </c>
      <c r="P4" s="12">
        <f t="shared" si="1"/>
        <v>30</v>
      </c>
      <c r="Q4" s="9" t="s">
        <v>175</v>
      </c>
      <c r="R4" s="10">
        <v>11500</v>
      </c>
      <c r="S4" s="10">
        <v>11500</v>
      </c>
      <c r="T4" s="10">
        <f t="shared" si="2"/>
        <v>11500</v>
      </c>
      <c r="U4" s="14">
        <f t="shared" si="3"/>
        <v>0.38983050847457629</v>
      </c>
      <c r="V4" s="9"/>
    </row>
    <row r="5" spans="1:22" ht="14.25" x14ac:dyDescent="0.2">
      <c r="A5" s="8">
        <v>46312.727270972202</v>
      </c>
      <c r="B5" s="9" t="s">
        <v>11</v>
      </c>
      <c r="C5" s="10">
        <v>27500</v>
      </c>
      <c r="D5" s="11">
        <v>4</v>
      </c>
      <c r="E5" s="11">
        <v>12</v>
      </c>
      <c r="F5" s="11">
        <v>180</v>
      </c>
      <c r="G5" s="11">
        <v>100</v>
      </c>
      <c r="H5" s="11"/>
      <c r="I5" s="12">
        <f t="shared" si="0"/>
        <v>100</v>
      </c>
      <c r="J5" s="11">
        <v>1</v>
      </c>
      <c r="K5" s="13"/>
      <c r="L5" s="9" t="s">
        <v>174</v>
      </c>
      <c r="M5" s="12">
        <v>10</v>
      </c>
      <c r="N5" s="11">
        <v>12</v>
      </c>
      <c r="O5" s="11">
        <v>24</v>
      </c>
      <c r="P5" s="12">
        <f t="shared" si="1"/>
        <v>18</v>
      </c>
      <c r="Q5" s="9" t="s">
        <v>171</v>
      </c>
      <c r="R5" s="10">
        <v>11500</v>
      </c>
      <c r="S5" s="10">
        <v>11500</v>
      </c>
      <c r="T5" s="10">
        <f t="shared" si="2"/>
        <v>11500</v>
      </c>
      <c r="U5" s="14">
        <f t="shared" si="3"/>
        <v>0.41818181818181815</v>
      </c>
      <c r="V5" s="9" t="s">
        <v>176</v>
      </c>
    </row>
    <row r="6" spans="1:22" ht="14.25" x14ac:dyDescent="0.2">
      <c r="A6" s="8">
        <v>46312.7365218634</v>
      </c>
      <c r="B6" s="9" t="s">
        <v>11</v>
      </c>
      <c r="C6" s="10">
        <v>28500</v>
      </c>
      <c r="D6" s="11">
        <v>4</v>
      </c>
      <c r="E6" s="11">
        <v>12</v>
      </c>
      <c r="F6" s="11">
        <v>120</v>
      </c>
      <c r="G6" s="11">
        <v>61</v>
      </c>
      <c r="H6" s="11">
        <v>80</v>
      </c>
      <c r="I6" s="12">
        <f t="shared" si="0"/>
        <v>70.5</v>
      </c>
      <c r="J6" s="11">
        <v>2</v>
      </c>
      <c r="K6" s="13">
        <v>300</v>
      </c>
      <c r="L6" s="9" t="s">
        <v>180</v>
      </c>
      <c r="M6" s="12">
        <v>7</v>
      </c>
      <c r="N6" s="11">
        <v>12</v>
      </c>
      <c r="O6" s="11">
        <v>24</v>
      </c>
      <c r="P6" s="12">
        <f t="shared" si="1"/>
        <v>18</v>
      </c>
      <c r="Q6" s="9" t="s">
        <v>177</v>
      </c>
      <c r="R6" s="10">
        <v>13700</v>
      </c>
      <c r="S6" s="10">
        <v>13700</v>
      </c>
      <c r="T6" s="10">
        <f t="shared" si="2"/>
        <v>13700</v>
      </c>
      <c r="U6" s="14">
        <f t="shared" si="3"/>
        <v>0.48070175438596491</v>
      </c>
      <c r="V6" s="9"/>
    </row>
    <row r="7" spans="1:22" ht="14.25" x14ac:dyDescent="0.2">
      <c r="A7" s="8">
        <v>46314.340792928197</v>
      </c>
      <c r="B7" s="9" t="s">
        <v>36</v>
      </c>
      <c r="C7" s="10">
        <v>90000</v>
      </c>
      <c r="D7" s="11">
        <v>4</v>
      </c>
      <c r="E7" s="11">
        <v>12</v>
      </c>
      <c r="F7" s="11"/>
      <c r="G7" s="11">
        <v>61</v>
      </c>
      <c r="H7" s="11">
        <v>80</v>
      </c>
      <c r="I7" s="12">
        <f t="shared" si="0"/>
        <v>70.5</v>
      </c>
      <c r="J7" s="11">
        <v>1</v>
      </c>
      <c r="K7" s="13">
        <v>240</v>
      </c>
      <c r="L7" s="9" t="s">
        <v>180</v>
      </c>
      <c r="M7" s="12">
        <v>30</v>
      </c>
      <c r="N7" s="11"/>
      <c r="O7" s="11"/>
      <c r="P7" s="12" t="str">
        <f t="shared" si="1"/>
        <v/>
      </c>
      <c r="Q7" s="9" t="s">
        <v>178</v>
      </c>
      <c r="R7" s="10">
        <v>3000</v>
      </c>
      <c r="S7" s="10">
        <v>4000</v>
      </c>
      <c r="T7" s="10">
        <f t="shared" si="2"/>
        <v>3500</v>
      </c>
      <c r="U7" s="14">
        <f t="shared" si="3"/>
        <v>3.888888888888889E-2</v>
      </c>
      <c r="V7" s="9" t="s">
        <v>179</v>
      </c>
    </row>
    <row r="8" spans="1:22" ht="14.25" x14ac:dyDescent="0.2">
      <c r="A8" s="8">
        <v>46321.010768252301</v>
      </c>
      <c r="B8" s="9" t="s">
        <v>36</v>
      </c>
      <c r="C8" s="10">
        <v>100000</v>
      </c>
      <c r="D8" s="11">
        <v>4</v>
      </c>
      <c r="E8" s="11">
        <v>12</v>
      </c>
      <c r="F8" s="11"/>
      <c r="G8" s="11">
        <v>61</v>
      </c>
      <c r="H8" s="11">
        <v>80</v>
      </c>
      <c r="I8" s="12">
        <f t="shared" si="0"/>
        <v>70.5</v>
      </c>
      <c r="J8" s="11">
        <v>1</v>
      </c>
      <c r="K8" s="13">
        <v>300</v>
      </c>
      <c r="L8" s="9" t="s">
        <v>180</v>
      </c>
      <c r="M8" s="12">
        <v>24</v>
      </c>
      <c r="N8" s="11">
        <v>24</v>
      </c>
      <c r="O8" s="11">
        <v>36</v>
      </c>
      <c r="P8" s="12">
        <f t="shared" si="1"/>
        <v>30</v>
      </c>
      <c r="Q8" s="9" t="s">
        <v>178</v>
      </c>
      <c r="R8" s="10">
        <v>8000</v>
      </c>
      <c r="S8" s="10">
        <v>10000</v>
      </c>
      <c r="T8" s="10">
        <f t="shared" si="2"/>
        <v>9000</v>
      </c>
      <c r="U8" s="14">
        <f t="shared" si="3"/>
        <v>0.09</v>
      </c>
      <c r="V8" s="9"/>
    </row>
    <row r="9" spans="1:22" ht="14.25" x14ac:dyDescent="0.2">
      <c r="A9" s="8">
        <v>46322.903135960703</v>
      </c>
      <c r="B9" s="9" t="s">
        <v>11</v>
      </c>
      <c r="C9" s="10">
        <v>27500</v>
      </c>
      <c r="D9" s="11">
        <v>4</v>
      </c>
      <c r="E9" s="11">
        <v>12</v>
      </c>
      <c r="F9" s="11"/>
      <c r="G9" s="11">
        <v>41</v>
      </c>
      <c r="H9" s="11">
        <v>60</v>
      </c>
      <c r="I9" s="12">
        <f t="shared" si="0"/>
        <v>50.5</v>
      </c>
      <c r="J9" s="11">
        <v>1</v>
      </c>
      <c r="K9" s="13">
        <v>300</v>
      </c>
      <c r="L9" s="9" t="s">
        <v>180</v>
      </c>
      <c r="M9" s="12">
        <v>24</v>
      </c>
      <c r="N9" s="11">
        <v>24</v>
      </c>
      <c r="O9" s="11">
        <v>36</v>
      </c>
      <c r="P9" s="12">
        <f t="shared" si="1"/>
        <v>30</v>
      </c>
      <c r="Q9" s="9" t="s">
        <v>178</v>
      </c>
      <c r="R9" s="10">
        <v>10000</v>
      </c>
      <c r="S9" s="10">
        <v>10000</v>
      </c>
      <c r="T9" s="10">
        <f t="shared" si="2"/>
        <v>10000</v>
      </c>
      <c r="U9" s="14">
        <f t="shared" si="3"/>
        <v>0.36363636363636365</v>
      </c>
      <c r="V9" s="9"/>
    </row>
    <row r="10" spans="1:22" ht="14.25" x14ac:dyDescent="0.2">
      <c r="A10" s="8">
        <v>46322.904178368102</v>
      </c>
      <c r="B10" s="9" t="s">
        <v>11</v>
      </c>
      <c r="C10" s="10">
        <v>26000</v>
      </c>
      <c r="D10" s="11">
        <v>4</v>
      </c>
      <c r="E10" s="11">
        <v>12</v>
      </c>
      <c r="F10" s="11"/>
      <c r="G10" s="11">
        <v>41</v>
      </c>
      <c r="H10" s="11">
        <v>60</v>
      </c>
      <c r="I10" s="12">
        <f t="shared" si="0"/>
        <v>50.5</v>
      </c>
      <c r="J10" s="11">
        <v>1</v>
      </c>
      <c r="K10" s="13">
        <v>300</v>
      </c>
      <c r="L10" s="9" t="s">
        <v>180</v>
      </c>
      <c r="M10" s="12">
        <v>24</v>
      </c>
      <c r="N10" s="11">
        <v>24</v>
      </c>
      <c r="O10" s="11">
        <v>36</v>
      </c>
      <c r="P10" s="12">
        <f t="shared" si="1"/>
        <v>30</v>
      </c>
      <c r="Q10" s="9" t="s">
        <v>178</v>
      </c>
      <c r="R10" s="10">
        <v>8000</v>
      </c>
      <c r="S10" s="10">
        <v>9000</v>
      </c>
      <c r="T10" s="10">
        <f t="shared" si="2"/>
        <v>8500</v>
      </c>
      <c r="U10" s="14">
        <f t="shared" si="3"/>
        <v>0.32692307692307693</v>
      </c>
      <c r="V10" s="9"/>
    </row>
    <row r="11" spans="1:22" ht="14.25" x14ac:dyDescent="0.2">
      <c r="A11" s="8">
        <v>46322.905034675903</v>
      </c>
      <c r="B11" s="9" t="s">
        <v>11</v>
      </c>
      <c r="C11" s="10">
        <v>28000</v>
      </c>
      <c r="D11" s="11">
        <v>4</v>
      </c>
      <c r="E11" s="11">
        <v>12</v>
      </c>
      <c r="F11" s="11"/>
      <c r="G11" s="11">
        <v>41</v>
      </c>
      <c r="H11" s="11">
        <v>60</v>
      </c>
      <c r="I11" s="12">
        <f t="shared" si="0"/>
        <v>50.5</v>
      </c>
      <c r="J11" s="11">
        <v>1</v>
      </c>
      <c r="K11" s="13">
        <v>300</v>
      </c>
      <c r="L11" s="9" t="s">
        <v>180</v>
      </c>
      <c r="M11" s="12">
        <v>30</v>
      </c>
      <c r="N11" s="11">
        <v>24</v>
      </c>
      <c r="O11" s="11">
        <v>36</v>
      </c>
      <c r="P11" s="12">
        <f t="shared" si="1"/>
        <v>30</v>
      </c>
      <c r="Q11" s="9" t="s">
        <v>178</v>
      </c>
      <c r="R11" s="10">
        <v>10000</v>
      </c>
      <c r="S11" s="10">
        <v>10000</v>
      </c>
      <c r="T11" s="10">
        <f t="shared" si="2"/>
        <v>10000</v>
      </c>
      <c r="U11" s="14">
        <f t="shared" si="3"/>
        <v>0.35714285714285715</v>
      </c>
      <c r="V11" s="9"/>
    </row>
    <row r="12" spans="1:22" ht="14.25" x14ac:dyDescent="0.2">
      <c r="A12" s="8">
        <v>46322.906204907398</v>
      </c>
      <c r="B12" s="9" t="s">
        <v>11</v>
      </c>
      <c r="C12" s="10">
        <v>26000</v>
      </c>
      <c r="D12" s="11">
        <v>4</v>
      </c>
      <c r="E12" s="11">
        <v>12</v>
      </c>
      <c r="F12" s="11"/>
      <c r="G12" s="11">
        <v>41</v>
      </c>
      <c r="H12" s="11">
        <v>60</v>
      </c>
      <c r="I12" s="12">
        <f t="shared" si="0"/>
        <v>50.5</v>
      </c>
      <c r="J12" s="11">
        <v>1</v>
      </c>
      <c r="K12" s="13">
        <v>300</v>
      </c>
      <c r="L12" s="9" t="s">
        <v>180</v>
      </c>
      <c r="M12" s="12">
        <v>18</v>
      </c>
      <c r="N12" s="11">
        <v>24</v>
      </c>
      <c r="O12" s="11">
        <v>36</v>
      </c>
      <c r="P12" s="12">
        <f t="shared" si="1"/>
        <v>30</v>
      </c>
      <c r="Q12" s="9" t="s">
        <v>178</v>
      </c>
      <c r="R12" s="10">
        <v>11000</v>
      </c>
      <c r="S12" s="10">
        <v>12000</v>
      </c>
      <c r="T12" s="10">
        <f t="shared" si="2"/>
        <v>11500</v>
      </c>
      <c r="U12" s="14">
        <f t="shared" si="3"/>
        <v>0.44230769230769229</v>
      </c>
      <c r="V12" s="9"/>
    </row>
    <row r="13" spans="1:22" ht="14.25" x14ac:dyDescent="0.2">
      <c r="A13" s="8">
        <v>46322.907072766197</v>
      </c>
      <c r="B13" s="9" t="s">
        <v>11</v>
      </c>
      <c r="C13" s="10">
        <v>28000</v>
      </c>
      <c r="D13" s="11">
        <v>4</v>
      </c>
      <c r="E13" s="11">
        <v>12</v>
      </c>
      <c r="F13" s="11"/>
      <c r="G13" s="11">
        <v>61</v>
      </c>
      <c r="H13" s="11">
        <v>80</v>
      </c>
      <c r="I13" s="12">
        <f t="shared" si="0"/>
        <v>70.5</v>
      </c>
      <c r="J13" s="11">
        <v>1</v>
      </c>
      <c r="K13" s="13">
        <v>265</v>
      </c>
      <c r="L13" s="9" t="s">
        <v>180</v>
      </c>
      <c r="M13" s="12">
        <v>24</v>
      </c>
      <c r="N13" s="11">
        <v>24</v>
      </c>
      <c r="O13" s="11">
        <v>36</v>
      </c>
      <c r="P13" s="12">
        <f t="shared" si="1"/>
        <v>30</v>
      </c>
      <c r="Q13" s="9" t="s">
        <v>178</v>
      </c>
      <c r="R13" s="10">
        <v>12000</v>
      </c>
      <c r="S13" s="10">
        <v>12000</v>
      </c>
      <c r="T13" s="10">
        <f t="shared" si="2"/>
        <v>12000</v>
      </c>
      <c r="U13" s="14">
        <f t="shared" si="3"/>
        <v>0.42857142857142855</v>
      </c>
      <c r="V13" s="9" t="s">
        <v>181</v>
      </c>
    </row>
    <row r="14" spans="1:22" ht="14.25" x14ac:dyDescent="0.2">
      <c r="A14" s="8">
        <v>46322.908211747701</v>
      </c>
      <c r="B14" s="9" t="s">
        <v>11</v>
      </c>
      <c r="C14" s="10">
        <v>27500</v>
      </c>
      <c r="D14" s="11">
        <v>6</v>
      </c>
      <c r="E14" s="11">
        <v>12</v>
      </c>
      <c r="F14" s="11"/>
      <c r="G14" s="11">
        <v>41</v>
      </c>
      <c r="H14" s="11">
        <v>60</v>
      </c>
      <c r="I14" s="12">
        <f t="shared" si="0"/>
        <v>50.5</v>
      </c>
      <c r="J14" s="11">
        <v>1</v>
      </c>
      <c r="K14" s="13">
        <v>310</v>
      </c>
      <c r="L14" s="9" t="s">
        <v>180</v>
      </c>
      <c r="M14" s="12">
        <v>18</v>
      </c>
      <c r="N14" s="11">
        <v>24</v>
      </c>
      <c r="O14" s="11">
        <v>36</v>
      </c>
      <c r="P14" s="12">
        <f t="shared" si="1"/>
        <v>30</v>
      </c>
      <c r="Q14" s="9" t="s">
        <v>178</v>
      </c>
      <c r="R14" s="10">
        <v>10000</v>
      </c>
      <c r="S14" s="10">
        <v>12000</v>
      </c>
      <c r="T14" s="10">
        <f t="shared" si="2"/>
        <v>11000</v>
      </c>
      <c r="U14" s="14">
        <f t="shared" si="3"/>
        <v>0.4</v>
      </c>
      <c r="V14" s="9" t="s">
        <v>181</v>
      </c>
    </row>
    <row r="15" spans="1:22" ht="14.25" x14ac:dyDescent="0.2">
      <c r="A15" s="8">
        <v>46322.909493425897</v>
      </c>
      <c r="B15" s="9" t="s">
        <v>11</v>
      </c>
      <c r="C15" s="10">
        <v>26500</v>
      </c>
      <c r="D15" s="11">
        <v>4</v>
      </c>
      <c r="E15" s="11">
        <v>12</v>
      </c>
      <c r="F15" s="11"/>
      <c r="G15" s="11">
        <v>41</v>
      </c>
      <c r="H15" s="11">
        <v>60</v>
      </c>
      <c r="I15" s="12">
        <f t="shared" si="0"/>
        <v>50.5</v>
      </c>
      <c r="J15" s="11">
        <v>1</v>
      </c>
      <c r="K15" s="13">
        <v>300</v>
      </c>
      <c r="L15" s="9" t="s">
        <v>180</v>
      </c>
      <c r="M15" s="12">
        <v>18</v>
      </c>
      <c r="N15" s="11"/>
      <c r="O15" s="11"/>
      <c r="P15" s="12" t="str">
        <f t="shared" si="1"/>
        <v/>
      </c>
      <c r="Q15" s="9" t="s">
        <v>178</v>
      </c>
      <c r="R15" s="10">
        <v>9000</v>
      </c>
      <c r="S15" s="10">
        <v>10000</v>
      </c>
      <c r="T15" s="10">
        <f t="shared" si="2"/>
        <v>9500</v>
      </c>
      <c r="U15" s="14">
        <f t="shared" si="3"/>
        <v>0.35849056603773582</v>
      </c>
      <c r="V15" s="9" t="s">
        <v>182</v>
      </c>
    </row>
    <row r="16" spans="1:22" ht="14.25" x14ac:dyDescent="0.2">
      <c r="A16" s="8">
        <v>46322.910360798604</v>
      </c>
      <c r="B16" s="9" t="s">
        <v>11</v>
      </c>
      <c r="C16" s="10">
        <v>26000</v>
      </c>
      <c r="D16" s="11">
        <v>4</v>
      </c>
      <c r="E16" s="11">
        <v>12</v>
      </c>
      <c r="F16" s="11"/>
      <c r="G16" s="11">
        <v>41</v>
      </c>
      <c r="H16" s="11">
        <v>60</v>
      </c>
      <c r="I16" s="12">
        <f t="shared" si="0"/>
        <v>50.5</v>
      </c>
      <c r="J16" s="11">
        <v>1</v>
      </c>
      <c r="K16" s="13">
        <v>300</v>
      </c>
      <c r="L16" s="9" t="s">
        <v>180</v>
      </c>
      <c r="M16" s="12">
        <v>24</v>
      </c>
      <c r="N16" s="11">
        <v>24</v>
      </c>
      <c r="O16" s="11">
        <v>36</v>
      </c>
      <c r="P16" s="12">
        <f t="shared" si="1"/>
        <v>30</v>
      </c>
      <c r="Q16" s="9" t="s">
        <v>178</v>
      </c>
      <c r="R16" s="10">
        <v>10000</v>
      </c>
      <c r="S16" s="10">
        <v>10000</v>
      </c>
      <c r="T16" s="10">
        <f t="shared" si="2"/>
        <v>10000</v>
      </c>
      <c r="U16" s="14">
        <f t="shared" si="3"/>
        <v>0.38461538461538464</v>
      </c>
      <c r="V16" s="9"/>
    </row>
    <row r="17" spans="1:22" ht="14.25" x14ac:dyDescent="0.2">
      <c r="A17" s="8">
        <v>46322.911264583301</v>
      </c>
      <c r="B17" s="9" t="s">
        <v>11</v>
      </c>
      <c r="C17" s="10">
        <v>90000</v>
      </c>
      <c r="D17" s="11">
        <v>4</v>
      </c>
      <c r="E17" s="11">
        <v>12</v>
      </c>
      <c r="F17" s="11"/>
      <c r="G17" s="11">
        <v>61</v>
      </c>
      <c r="H17" s="11">
        <v>80</v>
      </c>
      <c r="I17" s="12">
        <f t="shared" si="0"/>
        <v>70.5</v>
      </c>
      <c r="J17" s="11">
        <v>1</v>
      </c>
      <c r="K17" s="13">
        <v>300</v>
      </c>
      <c r="L17" s="9" t="s">
        <v>180</v>
      </c>
      <c r="M17" s="12">
        <v>18</v>
      </c>
      <c r="N17" s="11">
        <v>24</v>
      </c>
      <c r="O17" s="11">
        <v>36</v>
      </c>
      <c r="P17" s="12">
        <f t="shared" si="1"/>
        <v>30</v>
      </c>
      <c r="Q17" s="9" t="s">
        <v>178</v>
      </c>
      <c r="R17" s="10">
        <v>12000</v>
      </c>
      <c r="S17" s="10">
        <v>12000</v>
      </c>
      <c r="T17" s="10">
        <f t="shared" si="2"/>
        <v>12000</v>
      </c>
      <c r="U17" s="14">
        <f t="shared" si="3"/>
        <v>0.13333333333333333</v>
      </c>
      <c r="V17" s="9" t="s">
        <v>183</v>
      </c>
    </row>
    <row r="18" spans="1:22" ht="14.25" x14ac:dyDescent="0.2">
      <c r="A18" s="8">
        <v>46322.914078958303</v>
      </c>
      <c r="B18" s="9" t="s">
        <v>11</v>
      </c>
      <c r="C18" s="10">
        <v>95000</v>
      </c>
      <c r="D18" s="11">
        <v>4</v>
      </c>
      <c r="E18" s="11">
        <v>12</v>
      </c>
      <c r="F18" s="11"/>
      <c r="G18" s="11">
        <v>61</v>
      </c>
      <c r="H18" s="11">
        <v>80</v>
      </c>
      <c r="I18" s="12">
        <f t="shared" si="0"/>
        <v>70.5</v>
      </c>
      <c r="J18" s="11">
        <v>1</v>
      </c>
      <c r="K18" s="13">
        <v>300</v>
      </c>
      <c r="L18" s="9" t="s">
        <v>180</v>
      </c>
      <c r="M18" s="12">
        <v>24</v>
      </c>
      <c r="N18" s="11">
        <v>24</v>
      </c>
      <c r="O18" s="11">
        <v>36</v>
      </c>
      <c r="P18" s="12">
        <f t="shared" si="1"/>
        <v>30</v>
      </c>
      <c r="Q18" s="9" t="s">
        <v>178</v>
      </c>
      <c r="R18" s="10">
        <v>10000</v>
      </c>
      <c r="S18" s="10">
        <v>12000</v>
      </c>
      <c r="T18" s="10">
        <f t="shared" si="2"/>
        <v>11000</v>
      </c>
      <c r="U18" s="14">
        <f t="shared" si="3"/>
        <v>0.11578947368421053</v>
      </c>
      <c r="V18" s="9" t="s">
        <v>183</v>
      </c>
    </row>
    <row r="19" spans="1:22" ht="14.25" x14ac:dyDescent="0.2">
      <c r="A19" s="8">
        <v>46313</v>
      </c>
      <c r="B19" s="9" t="s">
        <v>11</v>
      </c>
      <c r="C19" s="10">
        <v>40000</v>
      </c>
      <c r="D19" s="11">
        <v>5</v>
      </c>
      <c r="E19" s="11">
        <v>12</v>
      </c>
      <c r="F19" s="11"/>
      <c r="G19" s="11">
        <v>130</v>
      </c>
      <c r="H19" s="11">
        <v>130</v>
      </c>
      <c r="I19" s="12">
        <f t="shared" si="0"/>
        <v>130</v>
      </c>
      <c r="J19" s="11">
        <v>1</v>
      </c>
      <c r="K19" s="13">
        <v>150</v>
      </c>
      <c r="L19" s="9" t="s">
        <v>180</v>
      </c>
      <c r="M19" s="12">
        <v>6</v>
      </c>
      <c r="N19" s="11">
        <v>12</v>
      </c>
      <c r="O19" s="11">
        <v>18</v>
      </c>
      <c r="P19" s="12">
        <f t="shared" si="1"/>
        <v>15</v>
      </c>
      <c r="Q19" s="9" t="s">
        <v>178</v>
      </c>
      <c r="R19" s="10">
        <v>30000</v>
      </c>
      <c r="S19" s="10">
        <v>30000</v>
      </c>
      <c r="T19" s="10">
        <f t="shared" si="2"/>
        <v>30000</v>
      </c>
      <c r="U19" s="14">
        <f t="shared" si="3"/>
        <v>0.75</v>
      </c>
      <c r="V19" s="9"/>
    </row>
    <row r="20" spans="1:22" ht="14.25" x14ac:dyDescent="0.2">
      <c r="A20" s="8">
        <v>46314</v>
      </c>
      <c r="B20" s="9" t="s">
        <v>11</v>
      </c>
      <c r="C20" s="10">
        <v>36000</v>
      </c>
      <c r="D20" s="11">
        <v>5</v>
      </c>
      <c r="E20" s="11">
        <v>12</v>
      </c>
      <c r="F20" s="11"/>
      <c r="G20" s="11">
        <v>120</v>
      </c>
      <c r="H20" s="11">
        <v>120</v>
      </c>
      <c r="I20" s="12">
        <f t="shared" si="0"/>
        <v>120</v>
      </c>
      <c r="J20" s="11">
        <v>1</v>
      </c>
      <c r="K20" s="13"/>
      <c r="L20" s="9" t="s">
        <v>174</v>
      </c>
      <c r="M20" s="12">
        <v>6</v>
      </c>
      <c r="N20" s="11">
        <v>6</v>
      </c>
      <c r="O20" s="11">
        <v>10</v>
      </c>
      <c r="P20" s="12">
        <f t="shared" si="1"/>
        <v>8</v>
      </c>
      <c r="Q20" s="9" t="s">
        <v>184</v>
      </c>
      <c r="R20" s="10">
        <v>35000</v>
      </c>
      <c r="S20" s="10">
        <v>35000</v>
      </c>
      <c r="T20" s="10">
        <f t="shared" si="2"/>
        <v>35000</v>
      </c>
      <c r="U20" s="14">
        <f t="shared" si="3"/>
        <v>0.97222222222222221</v>
      </c>
      <c r="V20" s="9"/>
    </row>
    <row r="21" spans="1:22" ht="14.25" x14ac:dyDescent="0.2">
      <c r="A21" s="8">
        <v>46315</v>
      </c>
      <c r="B21" s="9" t="s">
        <v>36</v>
      </c>
      <c r="C21" s="10">
        <v>112000</v>
      </c>
      <c r="D21" s="11">
        <v>1</v>
      </c>
      <c r="E21" s="11">
        <v>12</v>
      </c>
      <c r="F21" s="11"/>
      <c r="G21" s="11">
        <v>150</v>
      </c>
      <c r="H21" s="11">
        <v>150</v>
      </c>
      <c r="I21" s="12">
        <f t="shared" si="0"/>
        <v>150</v>
      </c>
      <c r="J21" s="11">
        <v>1</v>
      </c>
      <c r="K21" s="13">
        <v>300</v>
      </c>
      <c r="L21" s="9" t="s">
        <v>180</v>
      </c>
      <c r="M21" s="12">
        <v>8</v>
      </c>
      <c r="N21" s="11">
        <v>48</v>
      </c>
      <c r="O21" s="11">
        <v>60</v>
      </c>
      <c r="P21" s="12">
        <f t="shared" si="1"/>
        <v>54</v>
      </c>
      <c r="Q21" s="9" t="s">
        <v>178</v>
      </c>
      <c r="R21" s="10">
        <v>15000</v>
      </c>
      <c r="S21" s="10">
        <v>20000</v>
      </c>
      <c r="T21" s="10">
        <f t="shared" si="2"/>
        <v>17500</v>
      </c>
      <c r="U21" s="14">
        <f t="shared" si="3"/>
        <v>0.15625</v>
      </c>
      <c r="V21" s="9" t="s">
        <v>186</v>
      </c>
    </row>
    <row r="22" spans="1:22" ht="14.25" x14ac:dyDescent="0.2">
      <c r="A22" s="8">
        <v>46316</v>
      </c>
      <c r="B22" s="9" t="s">
        <v>11</v>
      </c>
      <c r="C22" s="10">
        <v>75000</v>
      </c>
      <c r="D22" s="11">
        <v>5</v>
      </c>
      <c r="E22" s="11">
        <v>12</v>
      </c>
      <c r="F22" s="11"/>
      <c r="G22" s="11">
        <v>130</v>
      </c>
      <c r="H22" s="11">
        <v>130</v>
      </c>
      <c r="I22" s="12">
        <f t="shared" si="0"/>
        <v>130</v>
      </c>
      <c r="J22" s="11">
        <v>1</v>
      </c>
      <c r="K22" s="13">
        <v>100</v>
      </c>
      <c r="L22" s="9" t="s">
        <v>170</v>
      </c>
      <c r="M22" s="12">
        <v>5</v>
      </c>
      <c r="N22" s="11">
        <v>10</v>
      </c>
      <c r="O22" s="11">
        <v>12</v>
      </c>
      <c r="P22" s="12">
        <f t="shared" si="1"/>
        <v>11</v>
      </c>
      <c r="Q22" s="9" t="s">
        <v>184</v>
      </c>
      <c r="R22" s="10">
        <v>35000</v>
      </c>
      <c r="S22" s="10">
        <v>35000</v>
      </c>
      <c r="T22" s="10">
        <f t="shared" si="2"/>
        <v>35000</v>
      </c>
      <c r="U22" s="14">
        <f t="shared" si="3"/>
        <v>0.46666666666666667</v>
      </c>
      <c r="V22" s="9" t="s">
        <v>183</v>
      </c>
    </row>
    <row r="23" spans="1:22" ht="14.25" x14ac:dyDescent="0.2">
      <c r="A23" s="8">
        <v>46315</v>
      </c>
      <c r="B23" s="9" t="s">
        <v>11</v>
      </c>
      <c r="C23" s="10">
        <v>65000</v>
      </c>
      <c r="D23" s="11">
        <v>4</v>
      </c>
      <c r="E23" s="11">
        <v>12</v>
      </c>
      <c r="F23" s="11"/>
      <c r="G23" s="11">
        <v>70</v>
      </c>
      <c r="H23" s="11">
        <v>70</v>
      </c>
      <c r="I23" s="12">
        <f t="shared" si="0"/>
        <v>70</v>
      </c>
      <c r="J23" s="11">
        <v>1</v>
      </c>
      <c r="K23" s="13">
        <v>100</v>
      </c>
      <c r="L23" s="9" t="s">
        <v>170</v>
      </c>
      <c r="M23" s="12">
        <v>17</v>
      </c>
      <c r="N23" s="11">
        <v>15</v>
      </c>
      <c r="O23" s="11">
        <v>20</v>
      </c>
      <c r="P23" s="12">
        <f t="shared" si="1"/>
        <v>17.5</v>
      </c>
      <c r="Q23" s="9" t="s">
        <v>178</v>
      </c>
      <c r="R23" s="10">
        <v>27000</v>
      </c>
      <c r="S23" s="10">
        <v>27000</v>
      </c>
      <c r="T23" s="10">
        <f t="shared" si="2"/>
        <v>27000</v>
      </c>
      <c r="U23" s="14">
        <f t="shared" si="3"/>
        <v>0.41538461538461541</v>
      </c>
      <c r="V23" s="9" t="s">
        <v>183</v>
      </c>
    </row>
    <row r="24" spans="1:22" ht="14.25" x14ac:dyDescent="0.2">
      <c r="A24" s="8">
        <v>46317</v>
      </c>
      <c r="B24" s="9" t="s">
        <v>36</v>
      </c>
      <c r="C24" s="10">
        <v>130000</v>
      </c>
      <c r="D24" s="11">
        <v>1</v>
      </c>
      <c r="E24" s="11">
        <v>12</v>
      </c>
      <c r="F24" s="11"/>
      <c r="G24" s="11">
        <v>170</v>
      </c>
      <c r="H24" s="11">
        <v>170</v>
      </c>
      <c r="I24" s="12">
        <f t="shared" si="0"/>
        <v>170</v>
      </c>
      <c r="J24" s="11">
        <v>1</v>
      </c>
      <c r="K24" s="13">
        <v>180</v>
      </c>
      <c r="L24" s="9" t="s">
        <v>170</v>
      </c>
      <c r="M24" s="12">
        <v>6</v>
      </c>
      <c r="N24" s="11">
        <v>48</v>
      </c>
      <c r="O24" s="11">
        <v>60</v>
      </c>
      <c r="P24" s="12">
        <f t="shared" si="1"/>
        <v>54</v>
      </c>
      <c r="Q24" s="9" t="s">
        <v>187</v>
      </c>
      <c r="R24" s="10">
        <v>25000</v>
      </c>
      <c r="S24" s="10">
        <v>25000</v>
      </c>
      <c r="T24" s="10">
        <f t="shared" si="2"/>
        <v>25000</v>
      </c>
      <c r="U24" s="14">
        <f t="shared" si="3"/>
        <v>0.19230769230769232</v>
      </c>
      <c r="V24" s="9"/>
    </row>
    <row r="25" spans="1:22" ht="14.25" x14ac:dyDescent="0.2">
      <c r="A25" s="8">
        <v>46317</v>
      </c>
      <c r="B25" s="9" t="s">
        <v>11</v>
      </c>
      <c r="C25" s="10">
        <v>75000</v>
      </c>
      <c r="D25" s="11">
        <v>4</v>
      </c>
      <c r="E25" s="11">
        <v>12</v>
      </c>
      <c r="F25" s="11"/>
      <c r="G25" s="11">
        <v>150</v>
      </c>
      <c r="H25" s="11">
        <v>150</v>
      </c>
      <c r="I25" s="12">
        <f t="shared" si="0"/>
        <v>150</v>
      </c>
      <c r="J25" s="11">
        <v>1</v>
      </c>
      <c r="K25" s="13">
        <v>90</v>
      </c>
      <c r="L25" s="9" t="s">
        <v>170</v>
      </c>
      <c r="M25" s="12">
        <v>2</v>
      </c>
      <c r="N25" s="11">
        <v>8</v>
      </c>
      <c r="O25" s="11">
        <v>12</v>
      </c>
      <c r="P25" s="12">
        <f t="shared" si="1"/>
        <v>10</v>
      </c>
      <c r="Q25" s="9" t="s">
        <v>178</v>
      </c>
      <c r="R25" s="10">
        <v>15000</v>
      </c>
      <c r="S25" s="10">
        <v>20000</v>
      </c>
      <c r="T25" s="10">
        <f t="shared" si="2"/>
        <v>17500</v>
      </c>
      <c r="U25" s="14">
        <f t="shared" si="3"/>
        <v>0.23333333333333334</v>
      </c>
      <c r="V25" s="9" t="s">
        <v>183</v>
      </c>
    </row>
    <row r="26" spans="1:22" ht="14.25" x14ac:dyDescent="0.2">
      <c r="A26" s="8">
        <v>46318</v>
      </c>
      <c r="B26" s="9" t="s">
        <v>11</v>
      </c>
      <c r="C26" s="10">
        <v>45000</v>
      </c>
      <c r="D26" s="11">
        <v>4</v>
      </c>
      <c r="E26" s="11">
        <v>12</v>
      </c>
      <c r="F26" s="11"/>
      <c r="G26" s="11">
        <v>120</v>
      </c>
      <c r="H26" s="11">
        <v>120</v>
      </c>
      <c r="I26" s="12">
        <f t="shared" si="0"/>
        <v>120</v>
      </c>
      <c r="J26" s="11">
        <v>1</v>
      </c>
      <c r="K26" s="13">
        <v>100</v>
      </c>
      <c r="L26" s="9" t="s">
        <v>170</v>
      </c>
      <c r="M26" s="12">
        <v>3</v>
      </c>
      <c r="N26" s="11">
        <v>12</v>
      </c>
      <c r="O26" s="11">
        <v>15</v>
      </c>
      <c r="P26" s="12">
        <f t="shared" si="1"/>
        <v>13.5</v>
      </c>
      <c r="Q26" s="9" t="s">
        <v>178</v>
      </c>
      <c r="R26" s="10">
        <v>26000</v>
      </c>
      <c r="S26" s="10">
        <v>28000</v>
      </c>
      <c r="T26" s="10">
        <f t="shared" si="2"/>
        <v>27000</v>
      </c>
      <c r="U26" s="14">
        <f t="shared" si="3"/>
        <v>0.6</v>
      </c>
      <c r="V26" s="9"/>
    </row>
    <row r="27" spans="1:22" ht="14.25" x14ac:dyDescent="0.2">
      <c r="A27" s="8">
        <v>46318</v>
      </c>
      <c r="B27" s="9" t="s">
        <v>11</v>
      </c>
      <c r="C27" s="10">
        <v>96000</v>
      </c>
      <c r="D27" s="11">
        <v>6</v>
      </c>
      <c r="E27" s="11">
        <v>12</v>
      </c>
      <c r="F27" s="11"/>
      <c r="G27" s="11">
        <v>150</v>
      </c>
      <c r="H27" s="11">
        <v>150</v>
      </c>
      <c r="I27" s="12">
        <f t="shared" si="0"/>
        <v>150</v>
      </c>
      <c r="J27" s="11">
        <v>1</v>
      </c>
      <c r="K27" s="13">
        <v>90</v>
      </c>
      <c r="L27" s="9" t="s">
        <v>170</v>
      </c>
      <c r="M27" s="12">
        <v>4</v>
      </c>
      <c r="N27" s="11">
        <v>12</v>
      </c>
      <c r="O27" s="11">
        <v>16</v>
      </c>
      <c r="P27" s="12">
        <f t="shared" si="1"/>
        <v>14</v>
      </c>
      <c r="Q27" s="9" t="s">
        <v>178</v>
      </c>
      <c r="R27" s="10">
        <v>48000</v>
      </c>
      <c r="S27" s="10">
        <v>48000</v>
      </c>
      <c r="T27" s="10">
        <f t="shared" si="2"/>
        <v>48000</v>
      </c>
      <c r="U27" s="14">
        <f t="shared" si="3"/>
        <v>0.5</v>
      </c>
      <c r="V27" s="9" t="s">
        <v>183</v>
      </c>
    </row>
    <row r="28" spans="1:22" ht="14.25" x14ac:dyDescent="0.2">
      <c r="A28" s="8">
        <v>46318</v>
      </c>
      <c r="B28" s="9" t="s">
        <v>121</v>
      </c>
      <c r="C28" s="10">
        <v>28000</v>
      </c>
      <c r="D28" s="11">
        <v>4</v>
      </c>
      <c r="E28" s="11">
        <v>12</v>
      </c>
      <c r="F28" s="11"/>
      <c r="G28" s="11">
        <v>120</v>
      </c>
      <c r="H28" s="11">
        <v>120</v>
      </c>
      <c r="I28" s="12">
        <f t="shared" si="0"/>
        <v>120</v>
      </c>
      <c r="J28" s="11">
        <v>1</v>
      </c>
      <c r="K28" s="13">
        <v>1200</v>
      </c>
      <c r="L28" s="9" t="s">
        <v>180</v>
      </c>
      <c r="M28" s="12">
        <v>6</v>
      </c>
      <c r="N28" s="11">
        <v>12</v>
      </c>
      <c r="O28" s="11">
        <v>24</v>
      </c>
      <c r="P28" s="12">
        <f t="shared" si="1"/>
        <v>18</v>
      </c>
      <c r="Q28" s="9" t="s">
        <v>178</v>
      </c>
      <c r="R28" s="10">
        <v>15000</v>
      </c>
      <c r="S28" s="10">
        <v>15000</v>
      </c>
      <c r="T28" s="10">
        <f t="shared" si="2"/>
        <v>15000</v>
      </c>
      <c r="U28" s="14">
        <f t="shared" si="3"/>
        <v>0.5357142857142857</v>
      </c>
      <c r="V28" s="9"/>
    </row>
    <row r="29" spans="1:22" ht="14.25" x14ac:dyDescent="0.2">
      <c r="A29" s="8">
        <v>46323</v>
      </c>
      <c r="B29" s="9" t="s">
        <v>121</v>
      </c>
      <c r="C29" s="10">
        <v>27000</v>
      </c>
      <c r="D29" s="11">
        <v>4</v>
      </c>
      <c r="E29" s="11">
        <v>12</v>
      </c>
      <c r="F29" s="11"/>
      <c r="G29" s="11">
        <v>40</v>
      </c>
      <c r="H29" s="11">
        <v>60</v>
      </c>
      <c r="I29" s="12">
        <f t="shared" si="0"/>
        <v>50</v>
      </c>
      <c r="J29" s="11">
        <v>1</v>
      </c>
      <c r="K29" s="13">
        <v>250</v>
      </c>
      <c r="L29" s="9" t="s">
        <v>180</v>
      </c>
      <c r="M29" s="12">
        <v>18</v>
      </c>
      <c r="N29" s="11">
        <v>24</v>
      </c>
      <c r="O29" s="11">
        <v>36</v>
      </c>
      <c r="P29" s="12">
        <f t="shared" si="1"/>
        <v>30</v>
      </c>
      <c r="Q29" s="9" t="s">
        <v>171</v>
      </c>
      <c r="R29" s="10">
        <v>10000</v>
      </c>
      <c r="S29" s="10">
        <v>10000</v>
      </c>
      <c r="T29" s="10">
        <f t="shared" si="2"/>
        <v>10000</v>
      </c>
      <c r="U29" s="14">
        <f t="shared" si="3"/>
        <v>0.37037037037037035</v>
      </c>
      <c r="V29" s="9"/>
    </row>
    <row r="30" spans="1:22" ht="14.25" x14ac:dyDescent="0.2">
      <c r="A30" s="8">
        <v>46323</v>
      </c>
      <c r="B30" s="9" t="s">
        <v>121</v>
      </c>
      <c r="C30" s="10">
        <v>28500</v>
      </c>
      <c r="D30" s="11">
        <v>4</v>
      </c>
      <c r="E30" s="11">
        <v>12</v>
      </c>
      <c r="F30" s="11"/>
      <c r="G30" s="11">
        <v>40</v>
      </c>
      <c r="H30" s="11">
        <v>60</v>
      </c>
      <c r="I30" s="12">
        <f t="shared" si="0"/>
        <v>50</v>
      </c>
      <c r="J30" s="11">
        <v>1</v>
      </c>
      <c r="K30" s="13">
        <v>280</v>
      </c>
      <c r="L30" s="9" t="s">
        <v>180</v>
      </c>
      <c r="M30" s="12">
        <v>24</v>
      </c>
      <c r="N30" s="11">
        <v>24</v>
      </c>
      <c r="O30" s="11">
        <v>36</v>
      </c>
      <c r="P30" s="12">
        <f t="shared" si="1"/>
        <v>30</v>
      </c>
      <c r="Q30" s="9" t="s">
        <v>171</v>
      </c>
      <c r="R30" s="10">
        <v>11000</v>
      </c>
      <c r="S30" s="10">
        <v>11000</v>
      </c>
      <c r="T30" s="10">
        <f t="shared" si="2"/>
        <v>11000</v>
      </c>
      <c r="U30" s="14">
        <f t="shared" si="3"/>
        <v>0.38596491228070173</v>
      </c>
      <c r="V30" s="9"/>
    </row>
    <row r="31" spans="1:22" ht="14.25" x14ac:dyDescent="0.2">
      <c r="A31" s="8">
        <v>46323</v>
      </c>
      <c r="B31" s="9" t="s">
        <v>121</v>
      </c>
      <c r="C31" s="10">
        <v>26000</v>
      </c>
      <c r="D31" s="11">
        <v>4</v>
      </c>
      <c r="E31" s="11">
        <v>12</v>
      </c>
      <c r="F31" s="11"/>
      <c r="G31" s="11">
        <v>40</v>
      </c>
      <c r="H31" s="11">
        <v>60</v>
      </c>
      <c r="I31" s="12">
        <f t="shared" si="0"/>
        <v>50</v>
      </c>
      <c r="J31" s="11">
        <v>1</v>
      </c>
      <c r="K31" s="13">
        <v>250</v>
      </c>
      <c r="L31" s="9" t="s">
        <v>180</v>
      </c>
      <c r="M31" s="12">
        <v>18</v>
      </c>
      <c r="N31" s="11">
        <v>24</v>
      </c>
      <c r="O31" s="11">
        <v>36</v>
      </c>
      <c r="P31" s="12">
        <f t="shared" si="1"/>
        <v>30</v>
      </c>
      <c r="Q31" s="9" t="s">
        <v>171</v>
      </c>
      <c r="R31" s="10">
        <v>11000</v>
      </c>
      <c r="S31" s="10">
        <v>11000</v>
      </c>
      <c r="T31" s="10">
        <f t="shared" si="2"/>
        <v>11000</v>
      </c>
      <c r="U31" s="14">
        <f t="shared" si="3"/>
        <v>0.42307692307692307</v>
      </c>
      <c r="V31" s="9"/>
    </row>
    <row r="32" spans="1:22" ht="14.25" x14ac:dyDescent="0.2">
      <c r="A32" s="8">
        <v>46323</v>
      </c>
      <c r="B32" s="9" t="s">
        <v>121</v>
      </c>
      <c r="C32" s="10">
        <v>35500</v>
      </c>
      <c r="D32" s="11">
        <v>6</v>
      </c>
      <c r="E32" s="11">
        <v>12</v>
      </c>
      <c r="F32" s="11"/>
      <c r="G32" s="11">
        <v>60</v>
      </c>
      <c r="H32" s="11">
        <v>80</v>
      </c>
      <c r="I32" s="12">
        <f t="shared" si="0"/>
        <v>70</v>
      </c>
      <c r="J32" s="11">
        <v>1</v>
      </c>
      <c r="K32" s="13">
        <v>300</v>
      </c>
      <c r="L32" s="9" t="s">
        <v>180</v>
      </c>
      <c r="M32" s="12">
        <v>24</v>
      </c>
      <c r="N32" s="11">
        <v>24</v>
      </c>
      <c r="O32" s="11">
        <v>30</v>
      </c>
      <c r="P32" s="12">
        <f t="shared" si="1"/>
        <v>27</v>
      </c>
      <c r="Q32" s="9" t="s">
        <v>171</v>
      </c>
      <c r="R32" s="10">
        <v>15000</v>
      </c>
      <c r="S32" s="10">
        <v>15000</v>
      </c>
      <c r="T32" s="10">
        <f t="shared" si="2"/>
        <v>15000</v>
      </c>
      <c r="U32" s="14">
        <f t="shared" si="3"/>
        <v>0.42253521126760563</v>
      </c>
      <c r="V32" s="9"/>
    </row>
    <row r="33" spans="1:22" ht="14.25" x14ac:dyDescent="0.2">
      <c r="A33" s="8">
        <v>46323</v>
      </c>
      <c r="B33" s="9" t="s">
        <v>36</v>
      </c>
      <c r="C33" s="10">
        <v>95000</v>
      </c>
      <c r="D33" s="11">
        <v>4</v>
      </c>
      <c r="E33" s="11">
        <v>12</v>
      </c>
      <c r="F33" s="11"/>
      <c r="G33" s="11">
        <v>60</v>
      </c>
      <c r="H33" s="11">
        <v>80</v>
      </c>
      <c r="I33" s="12">
        <f t="shared" si="0"/>
        <v>70</v>
      </c>
      <c r="J33" s="11">
        <v>1</v>
      </c>
      <c r="K33" s="13">
        <v>300</v>
      </c>
      <c r="L33" s="9" t="s">
        <v>180</v>
      </c>
      <c r="M33" s="12">
        <v>24</v>
      </c>
      <c r="N33" s="11">
        <v>30</v>
      </c>
      <c r="O33" s="11">
        <v>36</v>
      </c>
      <c r="P33" s="12">
        <f t="shared" si="1"/>
        <v>33</v>
      </c>
      <c r="Q33" s="9" t="s">
        <v>178</v>
      </c>
      <c r="R33" s="10">
        <v>15000</v>
      </c>
      <c r="S33" s="10">
        <v>18000</v>
      </c>
      <c r="T33" s="10">
        <f t="shared" si="2"/>
        <v>16500</v>
      </c>
      <c r="U33" s="14">
        <f t="shared" si="3"/>
        <v>0.1736842105263158</v>
      </c>
      <c r="V33" s="9"/>
    </row>
    <row r="34" spans="1:22" ht="14.25" x14ac:dyDescent="0.2">
      <c r="A34" s="8">
        <v>46323</v>
      </c>
      <c r="B34" s="9" t="s">
        <v>121</v>
      </c>
      <c r="C34" s="10">
        <v>28500</v>
      </c>
      <c r="D34" s="11">
        <v>4</v>
      </c>
      <c r="E34" s="11">
        <v>12</v>
      </c>
      <c r="F34" s="11"/>
      <c r="G34" s="11">
        <v>40</v>
      </c>
      <c r="H34" s="11">
        <v>60</v>
      </c>
      <c r="I34" s="12">
        <f t="shared" si="0"/>
        <v>50</v>
      </c>
      <c r="J34" s="11">
        <v>1</v>
      </c>
      <c r="K34" s="13">
        <v>250</v>
      </c>
      <c r="L34" s="9" t="s">
        <v>180</v>
      </c>
      <c r="M34" s="12">
        <v>18</v>
      </c>
      <c r="N34" s="11">
        <v>24</v>
      </c>
      <c r="O34" s="11">
        <v>36</v>
      </c>
      <c r="P34" s="12">
        <f t="shared" si="1"/>
        <v>30</v>
      </c>
      <c r="Q34" s="9" t="s">
        <v>178</v>
      </c>
      <c r="R34" s="10">
        <v>10000</v>
      </c>
      <c r="S34" s="10">
        <v>10000</v>
      </c>
      <c r="T34" s="10">
        <f t="shared" si="2"/>
        <v>10000</v>
      </c>
      <c r="U34" s="14">
        <f t="shared" si="3"/>
        <v>0.35087719298245612</v>
      </c>
      <c r="V34" s="9"/>
    </row>
    <row r="35" spans="1:22" ht="14.25" x14ac:dyDescent="0.2">
      <c r="A35" s="8">
        <v>46323</v>
      </c>
      <c r="B35" s="9" t="s">
        <v>121</v>
      </c>
      <c r="C35" s="10">
        <v>27000</v>
      </c>
      <c r="D35" s="11">
        <v>4</v>
      </c>
      <c r="E35" s="11">
        <v>12</v>
      </c>
      <c r="F35" s="11"/>
      <c r="G35" s="11">
        <v>40</v>
      </c>
      <c r="H35" s="11">
        <v>60</v>
      </c>
      <c r="I35" s="12">
        <f t="shared" si="0"/>
        <v>50</v>
      </c>
      <c r="J35" s="11">
        <v>1</v>
      </c>
      <c r="K35" s="13">
        <v>280</v>
      </c>
      <c r="L35" s="9" t="s">
        <v>180</v>
      </c>
      <c r="M35" s="12">
        <v>24</v>
      </c>
      <c r="N35" s="11">
        <v>24</v>
      </c>
      <c r="O35" s="11">
        <v>36</v>
      </c>
      <c r="P35" s="12">
        <f t="shared" si="1"/>
        <v>30</v>
      </c>
      <c r="Q35" s="9" t="s">
        <v>178</v>
      </c>
      <c r="R35" s="10">
        <v>10000</v>
      </c>
      <c r="S35" s="10">
        <v>10000</v>
      </c>
      <c r="T35" s="10">
        <f t="shared" si="2"/>
        <v>10000</v>
      </c>
      <c r="U35" s="14">
        <f t="shared" si="3"/>
        <v>0.37037037037037035</v>
      </c>
      <c r="V35" s="9"/>
    </row>
    <row r="36" spans="1:22" ht="14.25" x14ac:dyDescent="0.2">
      <c r="A36" s="8">
        <v>46323</v>
      </c>
      <c r="B36" s="9" t="s">
        <v>121</v>
      </c>
      <c r="C36" s="10">
        <v>26500</v>
      </c>
      <c r="D36" s="11">
        <v>4</v>
      </c>
      <c r="E36" s="11">
        <v>12</v>
      </c>
      <c r="F36" s="11"/>
      <c r="G36" s="11">
        <v>40</v>
      </c>
      <c r="H36" s="11">
        <v>60</v>
      </c>
      <c r="I36" s="12">
        <f t="shared" si="0"/>
        <v>50</v>
      </c>
      <c r="J36" s="11">
        <v>1</v>
      </c>
      <c r="K36" s="13">
        <v>250</v>
      </c>
      <c r="L36" s="9" t="s">
        <v>180</v>
      </c>
      <c r="M36" s="12">
        <v>24</v>
      </c>
      <c r="N36" s="11">
        <v>24</v>
      </c>
      <c r="O36" s="11">
        <v>36</v>
      </c>
      <c r="P36" s="12">
        <f t="shared" si="1"/>
        <v>30</v>
      </c>
      <c r="Q36" s="9" t="s">
        <v>178</v>
      </c>
      <c r="R36" s="10">
        <v>9000</v>
      </c>
      <c r="S36" s="10">
        <v>9000</v>
      </c>
      <c r="T36" s="10">
        <f t="shared" si="2"/>
        <v>9000</v>
      </c>
      <c r="U36" s="14">
        <f t="shared" si="3"/>
        <v>0.33962264150943394</v>
      </c>
      <c r="V36" s="9"/>
    </row>
    <row r="37" spans="1:22" ht="14.25" x14ac:dyDescent="0.2">
      <c r="A37" s="8">
        <v>46323</v>
      </c>
      <c r="B37" s="9" t="s">
        <v>121</v>
      </c>
      <c r="C37" s="10">
        <v>90000</v>
      </c>
      <c r="D37" s="11">
        <v>4</v>
      </c>
      <c r="E37" s="11">
        <v>12</v>
      </c>
      <c r="F37" s="11"/>
      <c r="G37" s="11">
        <v>60</v>
      </c>
      <c r="H37" s="11">
        <v>80</v>
      </c>
      <c r="I37" s="12">
        <f t="shared" si="0"/>
        <v>70</v>
      </c>
      <c r="J37" s="11">
        <v>1</v>
      </c>
      <c r="K37" s="13">
        <v>300</v>
      </c>
      <c r="L37" s="9" t="s">
        <v>180</v>
      </c>
      <c r="M37" s="12">
        <v>24</v>
      </c>
      <c r="N37" s="11">
        <v>30</v>
      </c>
      <c r="O37" s="11">
        <v>36</v>
      </c>
      <c r="P37" s="12">
        <f t="shared" si="1"/>
        <v>33</v>
      </c>
      <c r="Q37" s="9" t="s">
        <v>178</v>
      </c>
      <c r="R37" s="10">
        <v>12000</v>
      </c>
      <c r="S37" s="10">
        <v>12000</v>
      </c>
      <c r="T37" s="10">
        <f t="shared" si="2"/>
        <v>12000</v>
      </c>
      <c r="U37" s="14">
        <f t="shared" si="3"/>
        <v>0.13333333333333333</v>
      </c>
      <c r="V37" s="9" t="s">
        <v>188</v>
      </c>
    </row>
    <row r="38" spans="1:22" ht="14.25" x14ac:dyDescent="0.2">
      <c r="A38" s="8">
        <v>46323</v>
      </c>
      <c r="B38" s="9" t="s">
        <v>121</v>
      </c>
      <c r="C38" s="10">
        <v>28500</v>
      </c>
      <c r="D38" s="11">
        <v>4</v>
      </c>
      <c r="E38" s="11">
        <v>12</v>
      </c>
      <c r="F38" s="11"/>
      <c r="G38" s="11">
        <v>40</v>
      </c>
      <c r="H38" s="11">
        <v>60</v>
      </c>
      <c r="I38" s="12">
        <f t="shared" si="0"/>
        <v>50</v>
      </c>
      <c r="J38" s="11">
        <v>1</v>
      </c>
      <c r="K38" s="13">
        <v>250</v>
      </c>
      <c r="L38" s="9" t="s">
        <v>180</v>
      </c>
      <c r="M38" s="12">
        <v>18</v>
      </c>
      <c r="N38" s="11">
        <v>24</v>
      </c>
      <c r="O38" s="11">
        <v>36</v>
      </c>
      <c r="P38" s="12">
        <f t="shared" si="1"/>
        <v>30</v>
      </c>
      <c r="Q38" s="9" t="s">
        <v>178</v>
      </c>
      <c r="R38" s="10">
        <v>10000</v>
      </c>
      <c r="S38" s="10">
        <v>10000</v>
      </c>
      <c r="T38" s="10">
        <f t="shared" si="2"/>
        <v>10000</v>
      </c>
      <c r="U38" s="14">
        <f t="shared" si="3"/>
        <v>0.35087719298245612</v>
      </c>
      <c r="V38" s="9"/>
    </row>
    <row r="39" spans="1:22" ht="14.25" x14ac:dyDescent="0.2">
      <c r="A39" s="8">
        <v>46323</v>
      </c>
      <c r="B39" s="9" t="s">
        <v>121</v>
      </c>
      <c r="C39" s="10">
        <v>36000</v>
      </c>
      <c r="D39" s="11">
        <v>6</v>
      </c>
      <c r="E39" s="11">
        <v>12</v>
      </c>
      <c r="F39" s="11"/>
      <c r="G39" s="11">
        <v>40</v>
      </c>
      <c r="H39" s="11">
        <v>60</v>
      </c>
      <c r="I39" s="12">
        <f t="shared" si="0"/>
        <v>50</v>
      </c>
      <c r="J39" s="11">
        <v>1</v>
      </c>
      <c r="K39" s="13">
        <v>280</v>
      </c>
      <c r="L39" s="9" t="s">
        <v>180</v>
      </c>
      <c r="M39" s="12">
        <v>24</v>
      </c>
      <c r="N39" s="11">
        <v>24</v>
      </c>
      <c r="O39" s="11">
        <v>36</v>
      </c>
      <c r="P39" s="12">
        <f t="shared" si="1"/>
        <v>30</v>
      </c>
      <c r="Q39" s="9" t="s">
        <v>178</v>
      </c>
      <c r="R39" s="10">
        <v>12000</v>
      </c>
      <c r="S39" s="10">
        <v>12000</v>
      </c>
      <c r="T39" s="10">
        <f t="shared" si="2"/>
        <v>12000</v>
      </c>
      <c r="U39" s="14">
        <f t="shared" si="3"/>
        <v>0.33333333333333331</v>
      </c>
      <c r="V39" s="9"/>
    </row>
    <row r="40" spans="1:22" ht="14.25" x14ac:dyDescent="0.2">
      <c r="A40" s="8">
        <v>46323</v>
      </c>
      <c r="B40" s="9" t="s">
        <v>121</v>
      </c>
      <c r="C40" s="10">
        <v>36000</v>
      </c>
      <c r="D40" s="11">
        <v>6</v>
      </c>
      <c r="E40" s="11">
        <v>12</v>
      </c>
      <c r="F40" s="11"/>
      <c r="G40" s="11">
        <v>40</v>
      </c>
      <c r="H40" s="11">
        <v>60</v>
      </c>
      <c r="I40" s="12">
        <f t="shared" si="0"/>
        <v>50</v>
      </c>
      <c r="J40" s="11">
        <v>1</v>
      </c>
      <c r="K40" s="13">
        <v>300</v>
      </c>
      <c r="L40" s="9" t="s">
        <v>180</v>
      </c>
      <c r="M40" s="12">
        <v>24</v>
      </c>
      <c r="N40" s="11">
        <v>24</v>
      </c>
      <c r="O40" s="11">
        <v>36</v>
      </c>
      <c r="P40" s="12">
        <f t="shared" si="1"/>
        <v>30</v>
      </c>
      <c r="Q40" s="9" t="s">
        <v>178</v>
      </c>
      <c r="R40" s="10">
        <v>12000</v>
      </c>
      <c r="S40" s="10">
        <v>12000</v>
      </c>
      <c r="T40" s="10">
        <f t="shared" si="2"/>
        <v>12000</v>
      </c>
      <c r="U40" s="14">
        <f t="shared" si="3"/>
        <v>0.33333333333333331</v>
      </c>
      <c r="V40" s="9"/>
    </row>
    <row r="41" spans="1:22" ht="14.25" x14ac:dyDescent="0.2">
      <c r="A41" s="8">
        <v>46323</v>
      </c>
      <c r="B41" s="9" t="s">
        <v>121</v>
      </c>
      <c r="C41" s="10">
        <v>28000</v>
      </c>
      <c r="D41" s="11">
        <v>4</v>
      </c>
      <c r="E41" s="11">
        <v>12</v>
      </c>
      <c r="F41" s="11"/>
      <c r="G41" s="11">
        <v>40</v>
      </c>
      <c r="H41" s="11">
        <v>60</v>
      </c>
      <c r="I41" s="12">
        <f t="shared" si="0"/>
        <v>50</v>
      </c>
      <c r="J41" s="11">
        <v>1</v>
      </c>
      <c r="K41" s="13">
        <v>250</v>
      </c>
      <c r="L41" s="9" t="s">
        <v>180</v>
      </c>
      <c r="M41" s="12">
        <v>24</v>
      </c>
      <c r="N41" s="11">
        <v>24</v>
      </c>
      <c r="O41" s="11">
        <v>36</v>
      </c>
      <c r="P41" s="12">
        <f t="shared" si="1"/>
        <v>30</v>
      </c>
      <c r="Q41" s="9" t="s">
        <v>178</v>
      </c>
      <c r="R41" s="10">
        <v>10000</v>
      </c>
      <c r="S41" s="10">
        <v>10000</v>
      </c>
      <c r="T41" s="10">
        <f t="shared" si="2"/>
        <v>10000</v>
      </c>
      <c r="U41" s="14">
        <f t="shared" si="3"/>
        <v>0.35714285714285715</v>
      </c>
      <c r="V41" s="9"/>
    </row>
    <row r="42" spans="1:22" ht="14.25" x14ac:dyDescent="0.2">
      <c r="A42" s="8">
        <v>46323</v>
      </c>
      <c r="B42" s="9" t="s">
        <v>121</v>
      </c>
      <c r="C42" s="10">
        <v>27500</v>
      </c>
      <c r="D42" s="11">
        <v>4</v>
      </c>
      <c r="E42" s="11">
        <v>12</v>
      </c>
      <c r="F42" s="11"/>
      <c r="G42" s="11">
        <v>40</v>
      </c>
      <c r="H42" s="11">
        <v>60</v>
      </c>
      <c r="I42" s="12">
        <f t="shared" si="0"/>
        <v>50</v>
      </c>
      <c r="J42" s="11">
        <v>1</v>
      </c>
      <c r="K42" s="13">
        <v>300</v>
      </c>
      <c r="L42" s="9" t="s">
        <v>180</v>
      </c>
      <c r="M42" s="12">
        <v>24</v>
      </c>
      <c r="N42" s="11">
        <v>24</v>
      </c>
      <c r="O42" s="11">
        <v>36</v>
      </c>
      <c r="P42" s="12">
        <f t="shared" si="1"/>
        <v>30</v>
      </c>
      <c r="Q42" s="9" t="s">
        <v>178</v>
      </c>
      <c r="R42" s="10">
        <v>10000</v>
      </c>
      <c r="S42" s="10">
        <v>10000</v>
      </c>
      <c r="T42" s="10">
        <f t="shared" si="2"/>
        <v>10000</v>
      </c>
      <c r="U42" s="14">
        <f t="shared" si="3"/>
        <v>0.36363636363636365</v>
      </c>
      <c r="V42" s="9"/>
    </row>
    <row r="43" spans="1:22" ht="14.25" x14ac:dyDescent="0.2">
      <c r="A43" s="8">
        <v>46323</v>
      </c>
      <c r="B43" s="9" t="s">
        <v>121</v>
      </c>
      <c r="C43" s="10">
        <v>26500</v>
      </c>
      <c r="D43" s="11">
        <v>4</v>
      </c>
      <c r="E43" s="11">
        <v>12</v>
      </c>
      <c r="F43" s="11"/>
      <c r="G43" s="11">
        <v>40</v>
      </c>
      <c r="H43" s="11">
        <v>60</v>
      </c>
      <c r="I43" s="12">
        <f t="shared" si="0"/>
        <v>50</v>
      </c>
      <c r="J43" s="11">
        <v>1</v>
      </c>
      <c r="K43" s="13">
        <v>280</v>
      </c>
      <c r="L43" s="9" t="s">
        <v>180</v>
      </c>
      <c r="M43" s="12">
        <v>24</v>
      </c>
      <c r="N43" s="11">
        <v>24</v>
      </c>
      <c r="O43" s="11">
        <v>36</v>
      </c>
      <c r="P43" s="12">
        <f t="shared" si="1"/>
        <v>30</v>
      </c>
      <c r="Q43" s="9" t="s">
        <v>178</v>
      </c>
      <c r="R43" s="10">
        <v>10000</v>
      </c>
      <c r="S43" s="10">
        <v>10000</v>
      </c>
      <c r="T43" s="10">
        <f t="shared" si="2"/>
        <v>10000</v>
      </c>
      <c r="U43" s="14">
        <f t="shared" si="3"/>
        <v>0.37735849056603776</v>
      </c>
      <c r="V43" s="9"/>
    </row>
    <row r="44" spans="1:22" ht="14.25" x14ac:dyDescent="0.2">
      <c r="A44" s="8">
        <v>46323</v>
      </c>
      <c r="B44" s="9" t="s">
        <v>121</v>
      </c>
      <c r="C44" s="10">
        <v>27000</v>
      </c>
      <c r="D44" s="11">
        <v>4</v>
      </c>
      <c r="E44" s="11">
        <v>12</v>
      </c>
      <c r="F44" s="11"/>
      <c r="G44" s="11">
        <v>40</v>
      </c>
      <c r="H44" s="11">
        <v>60</v>
      </c>
      <c r="I44" s="12">
        <f t="shared" si="0"/>
        <v>50</v>
      </c>
      <c r="J44" s="11">
        <v>1</v>
      </c>
      <c r="K44" s="13">
        <v>250</v>
      </c>
      <c r="L44" s="9" t="s">
        <v>180</v>
      </c>
      <c r="M44" s="12">
        <v>18</v>
      </c>
      <c r="N44" s="11">
        <v>24</v>
      </c>
      <c r="O44" s="11">
        <v>36</v>
      </c>
      <c r="P44" s="12">
        <f t="shared" si="1"/>
        <v>30</v>
      </c>
      <c r="Q44" s="9" t="s">
        <v>178</v>
      </c>
      <c r="R44" s="10">
        <v>10000</v>
      </c>
      <c r="S44" s="10">
        <v>10000</v>
      </c>
      <c r="T44" s="10">
        <f t="shared" si="2"/>
        <v>10000</v>
      </c>
      <c r="U44" s="14">
        <f t="shared" si="3"/>
        <v>0.37037037037037035</v>
      </c>
      <c r="V44" s="9"/>
    </row>
  </sheetData>
  <autoFilter ref="A1:V44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3"/>
  <sheetViews>
    <sheetView topLeftCell="A31" zoomScaleNormal="100" workbookViewId="0"/>
  </sheetViews>
  <sheetFormatPr defaultColWidth="8.7109375" defaultRowHeight="12.75" x14ac:dyDescent="0.2"/>
  <cols>
    <col min="1" max="1" width="62" customWidth="1"/>
    <col min="2" max="6" width="18" customWidth="1"/>
  </cols>
  <sheetData>
    <row r="1" spans="1:5" ht="15" x14ac:dyDescent="0.25">
      <c r="A1" s="15" t="s">
        <v>189</v>
      </c>
    </row>
    <row r="2" spans="1:5" ht="14.25" x14ac:dyDescent="0.2">
      <c r="A2" s="16" t="s">
        <v>190</v>
      </c>
    </row>
    <row r="4" spans="1:5" ht="15" x14ac:dyDescent="0.25">
      <c r="A4" s="15" t="s">
        <v>191</v>
      </c>
    </row>
    <row r="5" spans="1:5" ht="15" x14ac:dyDescent="0.2">
      <c r="A5" s="17" t="s">
        <v>149</v>
      </c>
      <c r="B5" s="17" t="s">
        <v>192</v>
      </c>
      <c r="C5" s="17" t="s">
        <v>193</v>
      </c>
    </row>
    <row r="6" spans="1:5" ht="14.25" x14ac:dyDescent="0.2">
      <c r="A6" s="16" t="s">
        <v>11</v>
      </c>
      <c r="B6" s="18">
        <f>COUNTIF('Cleaned Data'!$B$2:$B$44,A6)</f>
        <v>22</v>
      </c>
      <c r="C6" s="19">
        <f>B6/B$9</f>
        <v>0.51162790697674421</v>
      </c>
    </row>
    <row r="7" spans="1:5" ht="14.25" x14ac:dyDescent="0.2">
      <c r="A7" s="16" t="s">
        <v>36</v>
      </c>
      <c r="B7" s="18">
        <f>COUNTIF('Cleaned Data'!$B$2:$B$44,A7)</f>
        <v>5</v>
      </c>
      <c r="C7" s="19">
        <f>B7/B$9</f>
        <v>0.11627906976744186</v>
      </c>
    </row>
    <row r="8" spans="1:5" ht="14.25" x14ac:dyDescent="0.2">
      <c r="A8" s="16" t="s">
        <v>121</v>
      </c>
      <c r="B8" s="18">
        <f>COUNTIF('Cleaned Data'!$B$2:$B$44,A8)</f>
        <v>16</v>
      </c>
      <c r="C8" s="19">
        <f>B8/B$9</f>
        <v>0.37209302325581395</v>
      </c>
    </row>
    <row r="9" spans="1:5" ht="15" x14ac:dyDescent="0.25">
      <c r="A9" s="15" t="s">
        <v>194</v>
      </c>
      <c r="B9" s="20">
        <f>SUM(B6:B8)</f>
        <v>43</v>
      </c>
      <c r="C9" s="21">
        <f>SUM(C6:C8)</f>
        <v>1</v>
      </c>
    </row>
    <row r="11" spans="1:5" ht="15" x14ac:dyDescent="0.25">
      <c r="A11" s="15" t="s">
        <v>195</v>
      </c>
    </row>
    <row r="12" spans="1:5" ht="15" x14ac:dyDescent="0.25">
      <c r="A12" s="15" t="s">
        <v>196</v>
      </c>
      <c r="B12" s="17" t="s">
        <v>11</v>
      </c>
      <c r="C12" s="17" t="s">
        <v>36</v>
      </c>
      <c r="D12" s="17" t="s">
        <v>121</v>
      </c>
      <c r="E12" s="17" t="s">
        <v>197</v>
      </c>
    </row>
    <row r="13" spans="1:5" ht="14.25" x14ac:dyDescent="0.2">
      <c r="A13" s="16" t="s">
        <v>150</v>
      </c>
      <c r="B13" s="22">
        <f>IFERROR(AVERAGEIFS('Cleaned Data'!$C$2:$C$44,'Cleaned Data'!$B$2:$B$44,B$12),"")</f>
        <v>46318.181818181816</v>
      </c>
      <c r="C13" s="22">
        <f>IFERROR(AVERAGEIFS('Cleaned Data'!$C$2:$C$44,'Cleaned Data'!$B$2:$B$44,C$12),"")</f>
        <v>105400</v>
      </c>
      <c r="D13" s="22">
        <f>IFERROR(AVERAGEIFS('Cleaned Data'!$C$2:$C$44,'Cleaned Data'!$B$2:$B$44,D$12),"")</f>
        <v>32906.25</v>
      </c>
      <c r="E13" s="22">
        <f>AVERAGE('Cleaned Data'!$C$2:$C$44)</f>
        <v>48197.674418604649</v>
      </c>
    </row>
    <row r="14" spans="1:5" ht="14.25" x14ac:dyDescent="0.2">
      <c r="A14" s="16" t="s">
        <v>198</v>
      </c>
      <c r="B14" s="22">
        <f>IFERROR(AVERAGEIFS('Cleaned Data'!$C$2:$C$44,'Cleaned Data'!$B$2:$B$44,B$12,'Cleaned Data'!$V$2:$V$44,"&lt;&gt;*High purchase cost*"),"")</f>
        <v>29866.666666666668</v>
      </c>
      <c r="C14" s="22">
        <f>IFERROR(AVERAGEIFS('Cleaned Data'!$C$2:$C$44,'Cleaned Data'!$B$2:$B$44,C$12,'Cleaned Data'!$V$2:$V$44,"&lt;&gt;*High purchase cost*"),"")</f>
        <v>105400</v>
      </c>
      <c r="D14" s="22">
        <f>IFERROR(AVERAGEIFS('Cleaned Data'!$C$2:$C$44,'Cleaned Data'!$B$2:$B$44,D$12,'Cleaned Data'!$V$2:$V$44,"&lt;&gt;*High purchase cost*"),"")</f>
        <v>29100</v>
      </c>
      <c r="E14" s="22">
        <f>AVERAGEIFS('Cleaned Data'!$C$2:$C$44,'Cleaned Data'!$V$2:$V$44,"&lt;&gt;*High purchase cost*")</f>
        <v>40328.571428571428</v>
      </c>
    </row>
    <row r="15" spans="1:5" ht="14.25" x14ac:dyDescent="0.2">
      <c r="A15" s="16" t="s">
        <v>199</v>
      </c>
      <c r="B15" s="22" t="e">
        <f ca="1">_xlfn.MINIFS('Cleaned Data'!$C$2:$C$44,'Cleaned Data'!$B$2:$B$44,B$12)</f>
        <v>#NAME?</v>
      </c>
      <c r="C15" s="22" t="e">
        <f ca="1">_xlfn.MINIFS('Cleaned Data'!$C$2:$C$44,'Cleaned Data'!$B$2:$B$44,C$12)</f>
        <v>#NAME?</v>
      </c>
      <c r="D15" s="22" t="e">
        <f ca="1">_xlfn.MINIFS('Cleaned Data'!$C$2:$C$44,'Cleaned Data'!$B$2:$B$44,D$12)</f>
        <v>#NAME?</v>
      </c>
      <c r="E15" s="22">
        <f>MIN('Cleaned Data'!$C$2:$C$44)</f>
        <v>26000</v>
      </c>
    </row>
    <row r="16" spans="1:5" ht="14.25" x14ac:dyDescent="0.2">
      <c r="A16" s="16" t="s">
        <v>200</v>
      </c>
      <c r="B16" s="22" t="e">
        <f ca="1">_xlfn.MAXIFS('Cleaned Data'!$C$2:$C$44,'Cleaned Data'!$B$2:$B$44,B$12)</f>
        <v>#NAME?</v>
      </c>
      <c r="C16" s="22" t="e">
        <f ca="1">_xlfn.MAXIFS('Cleaned Data'!$C$2:$C$44,'Cleaned Data'!$B$2:$B$44,C$12)</f>
        <v>#NAME?</v>
      </c>
      <c r="D16" s="22" t="e">
        <f ca="1">_xlfn.MAXIFS('Cleaned Data'!$C$2:$C$44,'Cleaned Data'!$B$2:$B$44,D$12)</f>
        <v>#NAME?</v>
      </c>
      <c r="E16" s="22">
        <f>MAX('Cleaned Data'!$C$2:$C$44)</f>
        <v>130000</v>
      </c>
    </row>
    <row r="17" spans="1:6" ht="14.25" x14ac:dyDescent="0.2">
      <c r="A17" s="16" t="s">
        <v>201</v>
      </c>
      <c r="B17" s="23">
        <f>IFERROR(AVERAGEIFS('Cleaned Data'!$D$2:$D$44,'Cleaned Data'!$B$2:$B$44,B$12),"")</f>
        <v>4.4545454545454541</v>
      </c>
      <c r="C17" s="23">
        <f>IFERROR(AVERAGEIFS('Cleaned Data'!$D$2:$D$44,'Cleaned Data'!$B$2:$B$44,C$12),"")</f>
        <v>2.8</v>
      </c>
      <c r="D17" s="23">
        <f>IFERROR(AVERAGEIFS('Cleaned Data'!$D$2:$D$44,'Cleaned Data'!$B$2:$B$44,D$12),"")</f>
        <v>4.375</v>
      </c>
      <c r="E17" s="23">
        <f>AVERAGE('Cleaned Data'!$D$2:$D$44)</f>
        <v>4.2325581395348841</v>
      </c>
    </row>
    <row r="18" spans="1:6" ht="14.25" x14ac:dyDescent="0.2">
      <c r="A18" s="16" t="s">
        <v>202</v>
      </c>
      <c r="B18" s="23">
        <f>IFERROR(AVERAGEIFS('Cleaned Data'!$I$2:$I$44,'Cleaned Data'!$B$2:$B$44,B$12),"")</f>
        <v>83.022727272727266</v>
      </c>
      <c r="C18" s="23">
        <f>IFERROR(AVERAGEIFS('Cleaned Data'!$I$2:$I$44,'Cleaned Data'!$B$2:$B$44,C$12),"")</f>
        <v>106.2</v>
      </c>
      <c r="D18" s="23">
        <f>IFERROR(AVERAGEIFS('Cleaned Data'!$I$2:$I$44,'Cleaned Data'!$B$2:$B$44,D$12),"")</f>
        <v>56.875</v>
      </c>
      <c r="E18" s="23">
        <f>AVERAGE('Cleaned Data'!$I$2:$I$44)</f>
        <v>75.988372093023258</v>
      </c>
    </row>
    <row r="19" spans="1:6" ht="14.25" x14ac:dyDescent="0.2">
      <c r="A19" s="16" t="s">
        <v>157</v>
      </c>
      <c r="B19" s="24">
        <f>IFERROR(AVERAGEIFS('Cleaned Data'!$J$2:$J$44,'Cleaned Data'!$B$2:$B$44,B$12),"")</f>
        <v>1.0454545454545454</v>
      </c>
      <c r="C19" s="24">
        <f>IFERROR(AVERAGEIFS('Cleaned Data'!$J$2:$J$44,'Cleaned Data'!$B$2:$B$44,C$12),"")</f>
        <v>1</v>
      </c>
      <c r="D19" s="24">
        <f>IFERROR(AVERAGEIFS('Cleaned Data'!$J$2:$J$44,'Cleaned Data'!$B$2:$B$44,D$12),"")</f>
        <v>1</v>
      </c>
      <c r="E19" s="24">
        <f>AVERAGE('Cleaned Data'!$J$2:$J$44)</f>
        <v>1.0232558139534884</v>
      </c>
    </row>
    <row r="20" spans="1:6" ht="14.25" x14ac:dyDescent="0.2">
      <c r="A20" s="16" t="s">
        <v>203</v>
      </c>
      <c r="B20" s="23">
        <f>IFERROR(AVERAGEIFS('Cleaned Data'!$M$2:$M$44,'Cleaned Data'!$B$2:$B$44,B$12),"")</f>
        <v>14.090909090909092</v>
      </c>
      <c r="C20" s="23">
        <f>IFERROR(AVERAGEIFS('Cleaned Data'!$M$2:$M$44,'Cleaned Data'!$B$2:$B$44,C$12),"")</f>
        <v>18.399999999999999</v>
      </c>
      <c r="D20" s="23">
        <f>IFERROR(AVERAGEIFS('Cleaned Data'!$M$2:$M$44,'Cleaned Data'!$B$2:$B$44,D$12),"")</f>
        <v>21</v>
      </c>
      <c r="E20" s="23">
        <f>AVERAGE('Cleaned Data'!$M$2:$M$44)</f>
        <v>17.162790697674417</v>
      </c>
    </row>
    <row r="21" spans="1:6" ht="14.25" x14ac:dyDescent="0.2">
      <c r="A21" s="16" t="s">
        <v>204</v>
      </c>
      <c r="B21" s="23">
        <f>IFERROR(AVERAGEIFS('Cleaned Data'!$P$2:$P$44,'Cleaned Data'!$B$2:$B$44,B$12),"")</f>
        <v>21.952380952380953</v>
      </c>
      <c r="C21" s="23">
        <f>IFERROR(AVERAGEIFS('Cleaned Data'!$P$2:$P$44,'Cleaned Data'!$B$2:$B$44,C$12),"")</f>
        <v>42.75</v>
      </c>
      <c r="D21" s="23">
        <f>IFERROR(AVERAGEIFS('Cleaned Data'!$P$2:$P$44,'Cleaned Data'!$B$2:$B$44,D$12),"")</f>
        <v>29.25</v>
      </c>
      <c r="E21" s="23">
        <f>AVERAGE('Cleaned Data'!$P$2:$P$44)</f>
        <v>26.829268292682926</v>
      </c>
    </row>
    <row r="22" spans="1:6" ht="14.25" x14ac:dyDescent="0.2">
      <c r="A22" s="16" t="s">
        <v>205</v>
      </c>
      <c r="B22" s="22">
        <f>IFERROR(AVERAGEIFS('Cleaned Data'!$T$2:$T$44,'Cleaned Data'!$B$2:$B$44,B$12),"")</f>
        <v>18622.727272727272</v>
      </c>
      <c r="C22" s="22">
        <f>IFERROR(AVERAGEIFS('Cleaned Data'!$T$2:$T$44,'Cleaned Data'!$B$2:$B$44,C$12),"")</f>
        <v>14300</v>
      </c>
      <c r="D22" s="22">
        <f>IFERROR(AVERAGEIFS('Cleaned Data'!$T$2:$T$44,'Cleaned Data'!$B$2:$B$44,D$12),"")</f>
        <v>11062.5</v>
      </c>
      <c r="E22" s="22">
        <f>AVERAGE('Cleaned Data'!$T$2:$T$44)</f>
        <v>15306.976744186046</v>
      </c>
    </row>
    <row r="23" spans="1:6" ht="14.25" x14ac:dyDescent="0.2">
      <c r="A23" s="16" t="s">
        <v>206</v>
      </c>
      <c r="B23" s="19">
        <f>IFERROR(AVERAGEIFS('Cleaned Data'!$U$2:$U$44,'Cleaned Data'!$B$2:$B$44,B$12),"")</f>
        <v>0.43199080734399758</v>
      </c>
      <c r="C23" s="19">
        <f>IFERROR(AVERAGEIFS('Cleaned Data'!$U$2:$U$44,'Cleaned Data'!$B$2:$B$44,C$12),"")</f>
        <v>0.1302261583445794</v>
      </c>
      <c r="D23" s="19">
        <f>IFERROR(AVERAGEIFS('Cleaned Data'!$U$2:$U$44,'Cleaned Data'!$B$2:$B$44,D$12),"")</f>
        <v>0.3636198238918894</v>
      </c>
      <c r="E23" s="19">
        <f>AVERAGE('Cleaned Data'!$U$2:$U$44)</f>
        <v>0.37146152873397853</v>
      </c>
    </row>
    <row r="25" spans="1:6" ht="15" x14ac:dyDescent="0.25">
      <c r="A25" s="15" t="s">
        <v>207</v>
      </c>
    </row>
    <row r="26" spans="1:6" ht="15" x14ac:dyDescent="0.25">
      <c r="A26" s="15" t="s">
        <v>208</v>
      </c>
      <c r="B26" s="17" t="s">
        <v>11</v>
      </c>
      <c r="C26" s="17" t="s">
        <v>36</v>
      </c>
      <c r="D26" s="17" t="s">
        <v>121</v>
      </c>
      <c r="E26" s="17" t="s">
        <v>197</v>
      </c>
      <c r="F26" s="17" t="s">
        <v>209</v>
      </c>
    </row>
    <row r="27" spans="1:6" ht="14.25" x14ac:dyDescent="0.2">
      <c r="A27" s="16" t="s">
        <v>178</v>
      </c>
      <c r="B27" s="18">
        <f>COUNTIFS('Cleaned Data'!$Q$2:$Q$44,$A27,'Cleaned Data'!$B$2:$B$44,B$26)</f>
        <v>15</v>
      </c>
      <c r="C27" s="18">
        <f>COUNTIFS('Cleaned Data'!$Q$2:$Q$44,$A27,'Cleaned Data'!$B$2:$B$44,C$26)</f>
        <v>4</v>
      </c>
      <c r="D27" s="18">
        <f>COUNTIFS('Cleaned Data'!$Q$2:$Q$44,$A27,'Cleaned Data'!$B$2:$B$44,D$26)</f>
        <v>12</v>
      </c>
      <c r="E27" s="18">
        <f t="shared" ref="E27:E32" si="0">SUM(B27:D27)</f>
        <v>31</v>
      </c>
      <c r="F27" s="19">
        <f t="shared" ref="F27:F32" si="1">E27/E$33</f>
        <v>0.72093023255813948</v>
      </c>
    </row>
    <row r="28" spans="1:6" ht="14.25" x14ac:dyDescent="0.2">
      <c r="A28" s="16" t="s">
        <v>171</v>
      </c>
      <c r="B28" s="18">
        <f>COUNTIFS('Cleaned Data'!$Q$2:$Q$44,$A28,'Cleaned Data'!$B$2:$B$44,B$26)</f>
        <v>3</v>
      </c>
      <c r="C28" s="18">
        <f>COUNTIFS('Cleaned Data'!$Q$2:$Q$44,$A28,'Cleaned Data'!$B$2:$B$44,C$26)</f>
        <v>0</v>
      </c>
      <c r="D28" s="18">
        <f>COUNTIFS('Cleaned Data'!$Q$2:$Q$44,$A28,'Cleaned Data'!$B$2:$B$44,D$26)</f>
        <v>4</v>
      </c>
      <c r="E28" s="18">
        <f t="shared" si="0"/>
        <v>7</v>
      </c>
      <c r="F28" s="19">
        <f t="shared" si="1"/>
        <v>0.16279069767441862</v>
      </c>
    </row>
    <row r="29" spans="1:6" ht="14.25" x14ac:dyDescent="0.2">
      <c r="A29" s="16" t="s">
        <v>175</v>
      </c>
      <c r="B29" s="18">
        <f>COUNTIFS('Cleaned Data'!$Q$2:$Q$44,$A29,'Cleaned Data'!$B$2:$B$44,B$26)</f>
        <v>1</v>
      </c>
      <c r="C29" s="18">
        <f>COUNTIFS('Cleaned Data'!$Q$2:$Q$44,$A29,'Cleaned Data'!$B$2:$B$44,C$26)</f>
        <v>0</v>
      </c>
      <c r="D29" s="18">
        <f>COUNTIFS('Cleaned Data'!$Q$2:$Q$44,$A29,'Cleaned Data'!$B$2:$B$44,D$26)</f>
        <v>0</v>
      </c>
      <c r="E29" s="18">
        <f t="shared" si="0"/>
        <v>1</v>
      </c>
      <c r="F29" s="19">
        <f t="shared" si="1"/>
        <v>2.3255813953488372E-2</v>
      </c>
    </row>
    <row r="30" spans="1:6" ht="14.25" x14ac:dyDescent="0.2">
      <c r="A30" s="16" t="s">
        <v>177</v>
      </c>
      <c r="B30" s="18">
        <f>COUNTIFS('Cleaned Data'!$Q$2:$Q$44,$A30,'Cleaned Data'!$B$2:$B$44,B$26)</f>
        <v>1</v>
      </c>
      <c r="C30" s="18">
        <f>COUNTIFS('Cleaned Data'!$Q$2:$Q$44,$A30,'Cleaned Data'!$B$2:$B$44,C$26)</f>
        <v>0</v>
      </c>
      <c r="D30" s="18">
        <f>COUNTIFS('Cleaned Data'!$Q$2:$Q$44,$A30,'Cleaned Data'!$B$2:$B$44,D$26)</f>
        <v>0</v>
      </c>
      <c r="E30" s="18">
        <f t="shared" si="0"/>
        <v>1</v>
      </c>
      <c r="F30" s="19">
        <f t="shared" si="1"/>
        <v>2.3255813953488372E-2</v>
      </c>
    </row>
    <row r="31" spans="1:6" ht="14.25" x14ac:dyDescent="0.2">
      <c r="A31" s="16" t="s">
        <v>184</v>
      </c>
      <c r="B31" s="18">
        <f>COUNTIFS('Cleaned Data'!$Q$2:$Q$44,$A31,'Cleaned Data'!$B$2:$B$44,B$26)</f>
        <v>2</v>
      </c>
      <c r="C31" s="18">
        <f>COUNTIFS('Cleaned Data'!$Q$2:$Q$44,$A31,'Cleaned Data'!$B$2:$B$44,C$26)</f>
        <v>0</v>
      </c>
      <c r="D31" s="18">
        <f>COUNTIFS('Cleaned Data'!$Q$2:$Q$44,$A31,'Cleaned Data'!$B$2:$B$44,D$26)</f>
        <v>0</v>
      </c>
      <c r="E31" s="18">
        <f t="shared" si="0"/>
        <v>2</v>
      </c>
      <c r="F31" s="19">
        <f t="shared" si="1"/>
        <v>4.6511627906976744E-2</v>
      </c>
    </row>
    <row r="32" spans="1:6" ht="14.25" x14ac:dyDescent="0.2">
      <c r="A32" s="16" t="s">
        <v>187</v>
      </c>
      <c r="B32" s="18">
        <f>COUNTIFS('Cleaned Data'!$Q$2:$Q$44,$A32,'Cleaned Data'!$B$2:$B$44,B$26)</f>
        <v>0</v>
      </c>
      <c r="C32" s="18">
        <f>COUNTIFS('Cleaned Data'!$Q$2:$Q$44,$A32,'Cleaned Data'!$B$2:$B$44,C$26)</f>
        <v>1</v>
      </c>
      <c r="D32" s="18">
        <f>COUNTIFS('Cleaned Data'!$Q$2:$Q$44,$A32,'Cleaned Data'!$B$2:$B$44,D$26)</f>
        <v>0</v>
      </c>
      <c r="E32" s="18">
        <f t="shared" si="0"/>
        <v>1</v>
      </c>
      <c r="F32" s="19">
        <f t="shared" si="1"/>
        <v>2.3255813953488372E-2</v>
      </c>
    </row>
    <row r="33" spans="1:5" ht="15" x14ac:dyDescent="0.25">
      <c r="A33" s="15" t="s">
        <v>194</v>
      </c>
      <c r="B33" s="20">
        <f>SUM(B27:B32)</f>
        <v>22</v>
      </c>
      <c r="C33" s="20">
        <f>SUM(C27:C32)</f>
        <v>5</v>
      </c>
      <c r="D33" s="20">
        <f>SUM(D27:D32)</f>
        <v>16</v>
      </c>
      <c r="E33" s="20">
        <f>SUM(E27:E32)</f>
        <v>43</v>
      </c>
    </row>
    <row r="35" spans="1:5" ht="15" x14ac:dyDescent="0.25">
      <c r="A35" s="15" t="s">
        <v>210</v>
      </c>
    </row>
    <row r="36" spans="1:5" ht="15" x14ac:dyDescent="0.2">
      <c r="A36" s="17" t="s">
        <v>211</v>
      </c>
      <c r="B36" s="17" t="s">
        <v>212</v>
      </c>
      <c r="C36" s="17" t="s">
        <v>213</v>
      </c>
      <c r="D36" s="17" t="s">
        <v>214</v>
      </c>
      <c r="E36" s="17" t="s">
        <v>215</v>
      </c>
    </row>
    <row r="37" spans="1:5" ht="14.25" x14ac:dyDescent="0.2">
      <c r="A37" s="16" t="s">
        <v>180</v>
      </c>
      <c r="B37" s="18">
        <f>COUNTIF('Cleaned Data'!$L$2:$L$44,$A37)</f>
        <v>34</v>
      </c>
      <c r="C37" s="25">
        <f>IFERROR(AVERAGEIFS('Cleaned Data'!$K$2:$K$44,'Cleaned Data'!$L$2:$L$44,$A37),"")</f>
        <v>327.5</v>
      </c>
      <c r="D37" s="25" t="e">
        <f ca="1">_xlfn.MINIFS('Cleaned Data'!$K$2:$K$44,'Cleaned Data'!$L$2:$L$44,$A37)</f>
        <v>#NAME?</v>
      </c>
      <c r="E37" s="25" t="e">
        <f ca="1">_xlfn.MAXIFS('Cleaned Data'!$K$2:$K$44,'Cleaned Data'!$L$2:$L$44,$A37)</f>
        <v>#NAME?</v>
      </c>
    </row>
    <row r="38" spans="1:5" ht="14.25" x14ac:dyDescent="0.2">
      <c r="A38" s="16" t="s">
        <v>170</v>
      </c>
      <c r="B38" s="18">
        <f>COUNTIF('Cleaned Data'!$L$2:$L$44,$A38)</f>
        <v>6</v>
      </c>
      <c r="C38" s="25">
        <f>IFERROR(AVERAGEIFS('Cleaned Data'!$K$2:$K$44,'Cleaned Data'!$L$2:$L$44,$A38),"")</f>
        <v>110</v>
      </c>
      <c r="D38" s="25" t="e">
        <f ca="1">_xlfn.MINIFS('Cleaned Data'!$K$2:$K$44,'Cleaned Data'!$L$2:$L$44,$A38)</f>
        <v>#NAME?</v>
      </c>
      <c r="E38" s="25" t="e">
        <f ca="1">_xlfn.MAXIFS('Cleaned Data'!$K$2:$K$44,'Cleaned Data'!$L$2:$L$44,$A38)</f>
        <v>#NAME?</v>
      </c>
    </row>
    <row r="39" spans="1:5" ht="14.25" x14ac:dyDescent="0.2">
      <c r="A39" s="16" t="s">
        <v>185</v>
      </c>
      <c r="B39" s="18">
        <f>COUNTIF('Cleaned Data'!$L$2:$L$44,$A39)</f>
        <v>0</v>
      </c>
      <c r="C39" s="25" t="str">
        <f>IFERROR(AVERAGEIFS('Cleaned Data'!$K$2:$K$44,'Cleaned Data'!$L$2:$L$44,$A39),"")</f>
        <v/>
      </c>
      <c r="D39" s="25" t="e">
        <f ca="1">_xlfn.MINIFS('Cleaned Data'!$K$2:$K$44,'Cleaned Data'!$L$2:$L$44,$A39)</f>
        <v>#NAME?</v>
      </c>
      <c r="E39" s="25" t="e">
        <f ca="1">_xlfn.MAXIFS('Cleaned Data'!$K$2:$K$44,'Cleaned Data'!$L$2:$L$44,$A39)</f>
        <v>#NAME?</v>
      </c>
    </row>
    <row r="40" spans="1:5" ht="14.25" x14ac:dyDescent="0.2">
      <c r="A40" s="16" t="s">
        <v>174</v>
      </c>
      <c r="B40" s="18">
        <f>COUNTIF('Cleaned Data'!$L$2:$L$44,$A40)</f>
        <v>3</v>
      </c>
    </row>
    <row r="42" spans="1:5" ht="15" x14ac:dyDescent="0.25">
      <c r="A42" s="15" t="s">
        <v>216</v>
      </c>
    </row>
    <row r="43" spans="1:5" ht="14.25" x14ac:dyDescent="0.2">
      <c r="A43" s="16" t="s">
        <v>217</v>
      </c>
    </row>
    <row r="44" spans="1:5" ht="14.25" x14ac:dyDescent="0.2">
      <c r="A44" s="16" t="s">
        <v>218</v>
      </c>
    </row>
    <row r="45" spans="1:5" ht="14.25" x14ac:dyDescent="0.2">
      <c r="A45" s="16" t="s">
        <v>219</v>
      </c>
    </row>
    <row r="46" spans="1:5" ht="14.25" x14ac:dyDescent="0.2">
      <c r="A46" s="16" t="s">
        <v>220</v>
      </c>
    </row>
    <row r="47" spans="1:5" ht="14.25" x14ac:dyDescent="0.2">
      <c r="A47" s="16" t="s">
        <v>221</v>
      </c>
    </row>
    <row r="48" spans="1:5" ht="14.25" x14ac:dyDescent="0.2">
      <c r="A48" s="16" t="s">
        <v>222</v>
      </c>
    </row>
    <row r="49" spans="1:1" ht="14.25" x14ac:dyDescent="0.2">
      <c r="A49" s="16" t="s">
        <v>223</v>
      </c>
    </row>
    <row r="50" spans="1:1" ht="14.25" x14ac:dyDescent="0.2">
      <c r="A50" s="16" t="s">
        <v>224</v>
      </c>
    </row>
    <row r="51" spans="1:1" ht="14.25" x14ac:dyDescent="0.2">
      <c r="A51" s="16" t="s">
        <v>225</v>
      </c>
    </row>
    <row r="52" spans="1:1" ht="14.25" x14ac:dyDescent="0.2">
      <c r="A52" s="16" t="s">
        <v>226</v>
      </c>
    </row>
    <row r="53" spans="1:1" ht="14.25" x14ac:dyDescent="0.2">
      <c r="A53" s="16" t="s">
        <v>227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Responses 1</vt:lpstr>
      <vt:lpstr>Cleaned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Razowan Kabir</cp:lastModifiedBy>
  <cp:revision>0</cp:revision>
  <dcterms:created xsi:type="dcterms:W3CDTF">2026-10-28T09:14:10Z</dcterms:created>
  <dcterms:modified xsi:type="dcterms:W3CDTF">2026-10-28T09:40:00Z</dcterms:modified>
  <dc:language>en-US</dc:language>
</cp:coreProperties>
</file>